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Review cycle" sheetId="2" state="visible" r:id="rId2"/>
    <sheet xmlns:r="http://schemas.openxmlformats.org/officeDocument/2006/relationships" name="Version reviews" sheetId="3" state="visible" r:id="rId3"/>
    <sheet xmlns:r="http://schemas.openxmlformats.org/officeDocument/2006/relationships" name="Review log" sheetId="4" state="visible" r:id="rId4"/>
    <sheet xmlns:r="http://schemas.openxmlformats.org/officeDocument/2006/relationships" name="Action log" sheetId="5" state="visible" r:id="rId5"/>
    <sheet xmlns:r="http://schemas.openxmlformats.org/officeDocument/2006/relationships" name="Summary" sheetId="6" state="visible" r:id="rId6"/>
  </sheets>
  <definedNames>
    <definedName name="_xlnm._FilterDatabase" localSheetId="3" hidden="1">'Review log'!$A$4:$O$37</definedName>
    <definedName name="_xlnm._FilterDatabase" localSheetId="4" hidden="1">'Action log'!$A$4:$L$58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D6"/>
      </patternFill>
    </fill>
    <fill>
      <patternFill patternType="solid">
        <fgColor rgb="00E3F4E8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EM26-19 — Deliverable Review Feedback and Action Log (2025 → 2026)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EM26-19</t>
        </is>
      </c>
      <c r="C5" s="2" t="n"/>
      <c r="D5" s="2" t="n"/>
    </row>
    <row r="6">
      <c r="A6" s="5" t="inlineStr">
        <is>
          <t>Title</t>
        </is>
      </c>
      <c r="B6" s="5" t="inlineStr">
        <is>
          <t>Deliverable Review Feedback and Action Log (2025 → 2026)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1.1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2026-10-12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APPROVED — rev 1.1 2026-10-12 (AR-2026-004); rev 1.0 2026-10-12 (AR-2026-003)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Every review of an EchoMind deliverable from May 2025 to October 2026 — by clients, the Project Lead, engineering and auditors — with its feedback, decision, the actions raised, their owners, due dates and closure evidence; and the two-monthly review cycle.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2025: minutes MM-ECHO-2025-05/07/09; Deliverables, Scheduling and Acceptance Criteria Review records (DR-1.0, SCH-1.0, ACC-1.0); SOW; internal audit 2025-09-24; Stage 2 audit 2025-10-16. 2026: git history, REG-10, EM26-18, REG-04, test runs.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Dating rule</t>
        </is>
      </c>
      <c r="B15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Sheet</t>
        </is>
      </c>
      <c r="B17" s="4" t="inlineStr">
        <is>
          <t>What it holds</t>
        </is>
      </c>
      <c r="C17" s="2" t="n"/>
      <c r="D17" s="2" t="n"/>
    </row>
    <row r="18">
      <c r="A18" s="5" t="inlineStr">
        <is>
          <t>Review cycle</t>
        </is>
      </c>
      <c r="B18" s="5" t="inlineStr">
        <is>
          <t>Two-month periods May 2025 → Oct 2026: version, reviews held, actions (counts are live formulas)</t>
        </is>
      </c>
      <c r="C18" s="2" t="n"/>
      <c r="D18" s="2" t="n"/>
    </row>
    <row r="19">
      <c r="A19" s="5" t="inlineStr">
        <is>
          <t>Version reviews</t>
        </is>
      </c>
      <c r="B19" s="5" t="inlineStr">
        <is>
          <t>Six versions v1.0.0 → v1.4.1 with the reviews held for each (live formulas)</t>
        </is>
      </c>
      <c r="C19" s="2" t="n"/>
      <c r="D19" s="2" t="n"/>
    </row>
    <row r="20">
      <c r="A20" s="5" t="inlineStr">
        <is>
          <t>Review log</t>
        </is>
      </c>
      <c r="B20" s="5" t="inlineStr">
        <is>
          <t>All 33 reviews with feedback, decision, record and the version reviewed</t>
        </is>
      </c>
      <c r="C20" s="2" t="n"/>
      <c r="D20" s="2" t="n"/>
    </row>
    <row r="21">
      <c r="A21" s="5" t="inlineStr">
        <is>
          <t>Action log</t>
        </is>
      </c>
      <c r="B21" s="5" t="inlineStr">
        <is>
          <t>All actions with owner, due date, status, closure date, evidence and version</t>
        </is>
      </c>
      <c r="C21" s="2" t="n"/>
      <c r="D21" s="2" t="n"/>
    </row>
    <row r="22">
      <c r="A22" s="5" t="inlineStr">
        <is>
          <t>Summary</t>
        </is>
      </c>
      <c r="B22" s="5" t="inlineStr">
        <is>
          <t>Reviews and actions by year and by source (live formulas)</t>
        </is>
      </c>
      <c r="C22" s="2" t="n"/>
      <c r="D22" s="2" t="n"/>
    </row>
    <row r="23">
      <c r="A23" s="2" t="n"/>
      <c r="B23" s="2" t="n"/>
      <c r="C23" s="2" t="n"/>
      <c r="D23" s="2" t="n"/>
    </row>
    <row r="24">
      <c r="A24" s="4" t="inlineStr">
        <is>
          <t>Role</t>
        </is>
      </c>
      <c r="B24" s="4" t="inlineStr">
        <is>
          <t>Name</t>
        </is>
      </c>
      <c r="C24" s="4" t="inlineStr">
        <is>
          <t>Signature</t>
        </is>
      </c>
      <c r="D24" s="4" t="inlineStr">
        <is>
          <t>Date</t>
        </is>
      </c>
    </row>
    <row r="25">
      <c r="A25" s="5" t="inlineStr">
        <is>
          <t>Prepared by — Lead Engineer</t>
        </is>
      </c>
      <c r="B25" s="5" t="inlineStr">
        <is>
          <t>Richard Watson Stephen Amudha</t>
        </is>
      </c>
      <c r="C25" s="5" t="inlineStr">
        <is>
          <t>Richard Watson Stephen Amudha</t>
        </is>
      </c>
      <c r="D25" s="5" t="inlineStr">
        <is>
          <t>2026-10-12</t>
        </is>
      </c>
    </row>
    <row r="26">
      <c r="A26" s="5" t="inlineStr">
        <is>
          <t>Reviewed by — EchoMind Project Lead</t>
        </is>
      </c>
      <c r="B26" s="5" t="inlineStr">
        <is>
          <t>Alexander Peter</t>
        </is>
      </c>
      <c r="C26" s="5" t="inlineStr">
        <is>
          <t>Alexander Peter</t>
        </is>
      </c>
      <c r="D26" s="5" t="inlineStr">
        <is>
          <t>2026-10-12</t>
        </is>
      </c>
    </row>
    <row r="27">
      <c r="A27" s="5" t="inlineStr">
        <is>
          <t>Quality assurance — QA / MR</t>
        </is>
      </c>
      <c r="B27" s="5" t="inlineStr">
        <is>
          <t>Sheryl Nazareth</t>
        </is>
      </c>
      <c r="C27" s="5" t="inlineStr">
        <is>
          <t>Sheryl Nazareth</t>
        </is>
      </c>
      <c r="D27" s="5" t="inlineStr">
        <is>
          <t>2026-10-12</t>
        </is>
      </c>
    </row>
    <row r="28">
      <c r="A28" s="5" t="inlineStr">
        <is>
          <t>Approved by — Managing Director</t>
        </is>
      </c>
      <c r="B28" s="5" t="inlineStr">
        <is>
          <t>Anita Johan</t>
        </is>
      </c>
      <c r="C28" s="5" t="inlineStr">
        <is>
          <t>Anita Johan</t>
        </is>
      </c>
      <c r="D28" s="5" t="inlineStr">
        <is>
          <t>2026-10-12</t>
        </is>
      </c>
    </row>
    <row r="29">
      <c r="A29" s="2" t="n"/>
      <c r="B29" s="2" t="n"/>
      <c r="C29" s="2" t="n"/>
      <c r="D29" s="2" t="n"/>
    </row>
    <row r="30">
      <c r="A30" s="4" t="inlineStr">
        <is>
          <t>Approval record</t>
        </is>
      </c>
      <c r="B30" s="2" t="n"/>
      <c r="C30" s="2" t="n"/>
      <c r="D30" s="2" t="n"/>
    </row>
    <row r="31">
      <c r="A31" s="5" t="inlineStr">
        <is>
          <t>Rev 1.1: docs/qms/records/approvals/2026-10-12_AR-2026-004_register_revision_approval.md; rev 1.0: …/2026-10-12_AR-2026-003_register_approval.md. Review and approval confirmed by each role holder; signatures are their typed names (SOP-01 §6).</t>
        </is>
      </c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4" t="inlineStr">
        <is>
          <t>Date</t>
        </is>
      </c>
      <c r="B33" s="4" t="inlineStr">
        <is>
          <t>Version</t>
        </is>
      </c>
      <c r="C33" s="4" t="inlineStr">
        <is>
          <t>Owner</t>
        </is>
      </c>
      <c r="D33" s="4" t="inlineStr">
        <is>
          <t>Change</t>
        </is>
      </c>
    </row>
    <row r="34">
      <c r="A34" s="5" t="inlineStr">
        <is>
          <t>2026-10-11</t>
        </is>
      </c>
      <c r="B34" s="5" t="inlineStr">
        <is>
          <t>1.0</t>
        </is>
      </c>
      <c r="C34" s="5" t="inlineStr">
        <is>
          <t>Richard Watson Stephen Amudha (Lead Engineer)</t>
        </is>
      </c>
      <c r="D34" s="5" t="inlineStr">
        <is>
          <t>First issue</t>
        </is>
      </c>
    </row>
    <row r="35">
      <c r="A35" s="5" t="inlineStr">
        <is>
          <t>2026-10-12</t>
        </is>
      </c>
      <c r="B35" s="5" t="inlineStr">
        <is>
          <t>1.0</t>
        </is>
      </c>
      <c r="C35" s="5" t="inlineStr">
        <is>
          <t>Anita Johan (Managing Director)</t>
        </is>
      </c>
      <c r="D35" s="5" t="inlineStr">
        <is>
          <t>Approved — AR-2026-003</t>
        </is>
      </c>
    </row>
    <row r="36">
      <c r="A36" s="5" t="inlineStr">
        <is>
          <t>2026-10-12</t>
        </is>
      </c>
      <c r="B36" s="5" t="inlineStr">
        <is>
          <t>1.1</t>
        </is>
      </c>
      <c r="C36" s="5" t="inlineStr">
        <is>
          <t>Richard Watson Stephen Amudha (Lead Engineer)</t>
        </is>
      </c>
      <c r="D36" s="5" t="inlineStr">
        <is>
          <t>Versions v1.0.0–v1.4.1 added (v1.0.0–v1.3.0 retrospective baselines, REG-08 §2a); version reviews</t>
        </is>
      </c>
    </row>
    <row r="37">
      <c r="A37" s="5" t="inlineStr">
        <is>
          <t>2026-10-12</t>
        </is>
      </c>
      <c r="B37" s="5" t="inlineStr">
        <is>
          <t>1.1</t>
        </is>
      </c>
      <c r="C37" s="5" t="inlineStr">
        <is>
          <t>Anita Johan (Managing Director)</t>
        </is>
      </c>
      <c r="D37" s="5" t="inlineStr">
        <is>
          <t>Approved — AR-2026-004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4" customWidth="1" min="4" max="4"/>
    <col width="60" customWidth="1" min="5" max="5"/>
    <col width="9" customWidth="1" min="6" max="6"/>
    <col width="9" customWidth="1" min="7" max="7"/>
    <col width="9" customWidth="1" min="8" max="8"/>
    <col width="22" customWidth="1" min="9" max="9"/>
  </cols>
  <sheetData>
    <row r="1">
      <c r="A1" s="6" t="inlineStr">
        <is>
          <t>Review cycle — every two months, May 2025 → October 2026</t>
        </is>
      </c>
    </row>
    <row r="2">
      <c r="A2" s="7" t="inlineStr">
        <is>
          <t>Counts are live formulas over the Review log and Action log sheets.</t>
        </is>
      </c>
    </row>
    <row r="4">
      <c r="A4" s="8" t="inlineStr">
        <is>
          <t>Period</t>
        </is>
      </c>
      <c r="B4" s="8" t="inlineStr">
        <is>
          <t>Window</t>
        </is>
      </c>
      <c r="C4" s="8" t="inlineStr">
        <is>
          <t>Product state / version</t>
        </is>
      </c>
      <c r="D4" s="8" t="inlineStr">
        <is>
          <t>Commits on main</t>
        </is>
      </c>
      <c r="E4" s="8" t="inlineStr">
        <is>
          <t>Reviews held</t>
        </is>
      </c>
      <c r="F4" s="8" t="inlineStr">
        <is>
          <t>Reviews</t>
        </is>
      </c>
      <c r="G4" s="8" t="inlineStr">
        <is>
          <t>Actions raised</t>
        </is>
      </c>
      <c r="H4" s="8" t="inlineStr">
        <is>
          <t>Actions closed</t>
        </is>
      </c>
      <c r="I4" s="8" t="inlineStr">
        <is>
          <t>Review status</t>
        </is>
      </c>
    </row>
    <row r="5">
      <c r="A5" s="5" t="inlineStr">
        <is>
          <t>P-2025-1</t>
        </is>
      </c>
      <c r="B5" s="5" t="inlineStr">
        <is>
          <t>May–Jun 2025</t>
        </is>
      </c>
      <c r="C5" s="5" t="inlineStr">
        <is>
          <t>2025 appliance — architecture, requirements and prototype plan</t>
        </is>
      </c>
      <c r="D5" s="5" t="inlineStr">
        <is>
          <t>n/a (2025 repositories)</t>
        </is>
      </c>
      <c r="E5" s="5" t="inlineStr">
        <is>
          <t>DR-2025-01, DR-2025-02, DR-2025-03, DR-2025-04</t>
        </is>
      </c>
      <c r="F5" s="5">
        <f>COUNTIF('Review log'!$C:$C,A5)</f>
        <v/>
      </c>
      <c r="G5" s="5">
        <f>SUMIF('Action log'!$C:$C,A5,'Action log'!$K:$K)</f>
        <v/>
      </c>
      <c r="H5" s="5">
        <f>SUMIFS('Action log'!$K:$K,'Action log'!$C:$C,A5,'Action log'!$F:$F,"Closed*")</f>
        <v/>
      </c>
      <c r="I5" s="9" t="inlineStr">
        <is>
          <t>Held</t>
        </is>
      </c>
    </row>
    <row r="6">
      <c r="A6" s="5" t="inlineStr">
        <is>
          <t>P-2025-2</t>
        </is>
      </c>
      <c r="B6" s="5" t="inlineStr">
        <is>
          <t>Jul–Aug 2025</t>
        </is>
      </c>
      <c r="C6" s="5" t="inlineStr">
        <is>
          <t>2025 appliance — prototype hardware, QA sprint, SOW signed</t>
        </is>
      </c>
      <c r="D6" s="5" t="inlineStr">
        <is>
          <t>n/a (2025 repositories)</t>
        </is>
      </c>
      <c r="E6" s="5" t="inlineStr">
        <is>
          <t>DR-2025-05, DR-2025-06, DR-2025-07, DR-2025-08, DR-2025-09, DR-2025-10</t>
        </is>
      </c>
      <c r="F6" s="5">
        <f>COUNTIF('Review log'!$C:$C,A6)</f>
        <v/>
      </c>
      <c r="G6" s="5">
        <f>SUMIF('Action log'!$C:$C,A6,'Action log'!$K:$K)</f>
        <v/>
      </c>
      <c r="H6" s="5">
        <f>SUMIFS('Action log'!$K:$K,'Action log'!$C:$C,A6,'Action log'!$F:$F,"Closed*")</f>
        <v/>
      </c>
      <c r="I6" s="9" t="inlineStr">
        <is>
          <t>Held</t>
        </is>
      </c>
    </row>
    <row r="7">
      <c r="A7" s="5" t="inlineStr">
        <is>
          <t>P-2025-3</t>
        </is>
      </c>
      <c r="B7" s="5" t="inlineStr">
        <is>
          <t>Sep–Oct 2025</t>
        </is>
      </c>
      <c r="C7" s="5" t="inlineStr">
        <is>
          <t>2025 appliance — final release package delivered; internal audit; Stage 2 certification audit</t>
        </is>
      </c>
      <c r="D7" s="5" t="inlineStr">
        <is>
          <t>n/a (2025 repositories)</t>
        </is>
      </c>
      <c r="E7" s="5" t="inlineStr">
        <is>
          <t>DR-2025-11, DR-2025-12, DR-2025-13, DR-2025-14, DR-2025-15</t>
        </is>
      </c>
      <c r="F7" s="5">
        <f>COUNTIF('Review log'!$C:$C,A7)</f>
        <v/>
      </c>
      <c r="G7" s="5">
        <f>SUMIF('Action log'!$C:$C,A7,'Action log'!$K:$K)</f>
        <v/>
      </c>
      <c r="H7" s="5">
        <f>SUMIFS('Action log'!$K:$K,'Action log'!$C:$C,A7,'Action log'!$F:$F,"Closed*")</f>
        <v/>
      </c>
      <c r="I7" s="9" t="inlineStr">
        <is>
          <t>Held</t>
        </is>
      </c>
    </row>
    <row r="8">
      <c r="A8" s="5" t="inlineStr">
        <is>
          <t>P-2025-4</t>
        </is>
      </c>
      <c r="B8" s="5" t="inlineStr">
        <is>
          <t>Nov–Dec 2025</t>
        </is>
      </c>
      <c r="C8" s="5" t="inlineStr">
        <is>
          <t>No product release (2025 project closed; next platform under evaluation)</t>
        </is>
      </c>
      <c r="D8" s="5" t="inlineStr">
        <is>
          <t>n/a (2025 repositories)</t>
        </is>
      </c>
      <c r="E8" s="5" t="inlineStr">
        <is>
          <t>None — no deliverable in the period</t>
        </is>
      </c>
      <c r="F8" s="5">
        <f>COUNTIF('Review log'!$C:$C,A8)</f>
        <v/>
      </c>
      <c r="G8" s="5">
        <f>SUMIF('Action log'!$C:$C,A8,'Action log'!$K:$K)</f>
        <v/>
      </c>
      <c r="H8" s="5">
        <f>SUMIFS('Action log'!$K:$K,'Action log'!$C:$C,A8,'Action log'!$F:$F,"Closed*")</f>
        <v/>
      </c>
      <c r="I8" s="5" t="inlineStr">
        <is>
          <t>No review needed — no deliverable</t>
        </is>
      </c>
    </row>
    <row r="9">
      <c r="A9" s="5" t="inlineStr">
        <is>
          <t>P-2026-1</t>
        </is>
      </c>
      <c r="B9" s="5" t="inlineStr">
        <is>
          <t>Jan–Feb 2026</t>
        </is>
      </c>
      <c r="C9" s="5" t="inlineStr">
        <is>
          <t>v1.0.0 — platform decision; 2025 code ported to the DGX Spark</t>
        </is>
      </c>
      <c r="D9" s="5" t="n">
        <v>84</v>
      </c>
      <c r="E9" s="5" t="inlineStr">
        <is>
          <t>CR-2026-01</t>
        </is>
      </c>
      <c r="F9" s="5">
        <f>COUNTIF('Review log'!$C:$C,A9)</f>
        <v/>
      </c>
      <c r="G9" s="5">
        <f>SUMIF('Action log'!$C:$C,A9,'Action log'!$K:$K)</f>
        <v/>
      </c>
      <c r="H9" s="5">
        <f>SUMIFS('Action log'!$K:$K,'Action log'!$C:$C,A9,'Action log'!$F:$F,"Closed*")</f>
        <v/>
      </c>
      <c r="I9" s="9" t="inlineStr">
        <is>
          <t>Held</t>
        </is>
      </c>
    </row>
    <row r="10">
      <c r="A10" s="5" t="inlineStr">
        <is>
          <t>P-2026-2</t>
        </is>
      </c>
      <c r="B10" s="5" t="inlineStr">
        <is>
          <t>Mar–Apr 2026</t>
        </is>
      </c>
      <c r="C10" s="5" t="inlineStr">
        <is>
          <t>v1.1.0 — DoD FMR knowledge base; conversation v1 → v2 → own dual loop; TensorRT-LLM; Nemotron speech; hotspot</t>
        </is>
      </c>
      <c r="D10" s="5" t="n">
        <v>32</v>
      </c>
      <c r="E10" s="5" t="inlineStr">
        <is>
          <t>CR-2026-02, CR-2026-03, CR-2026-04, CR-2026-05, CR-2026-06</t>
        </is>
      </c>
      <c r="F10" s="5">
        <f>COUNTIF('Review log'!$C:$C,A10)</f>
        <v/>
      </c>
      <c r="G10" s="5">
        <f>SUMIF('Action log'!$C:$C,A10,'Action log'!$K:$K)</f>
        <v/>
      </c>
      <c r="H10" s="5">
        <f>SUMIFS('Action log'!$K:$K,'Action log'!$C:$C,A10,'Action log'!$F:$F,"Closed*")</f>
        <v/>
      </c>
      <c r="I10" s="9" t="inlineStr">
        <is>
          <t>Held</t>
        </is>
      </c>
    </row>
    <row r="11">
      <c r="A11" s="5" t="inlineStr">
        <is>
          <t>P-2026-3</t>
        </is>
      </c>
      <c r="B11" s="5" t="inlineStr">
        <is>
          <t>May–Jun 2026</t>
        </is>
      </c>
      <c r="C11" s="5" t="inlineStr">
        <is>
          <t>v1.2.0 — Silent Assistant, Boardroom, Document Studio, login and roles, vertical packs, public reference instance</t>
        </is>
      </c>
      <c r="D11" s="5" t="n">
        <v>44</v>
      </c>
      <c r="E11" s="5" t="inlineStr">
        <is>
          <t>CR-2026-07, CR-2026-08, CR-2026-09, SR-2026-01</t>
        </is>
      </c>
      <c r="F11" s="5">
        <f>COUNTIF('Review log'!$C:$C,A11)</f>
        <v/>
      </c>
      <c r="G11" s="5">
        <f>SUMIF('Action log'!$C:$C,A11,'Action log'!$K:$K)</f>
        <v/>
      </c>
      <c r="H11" s="5">
        <f>SUMIFS('Action log'!$K:$K,'Action log'!$C:$C,A11,'Action log'!$F:$F,"Closed*")</f>
        <v/>
      </c>
      <c r="I11" s="9" t="inlineStr">
        <is>
          <t>Held</t>
        </is>
      </c>
    </row>
    <row r="12">
      <c r="A12" s="5" t="inlineStr">
        <is>
          <t>P-2026-4</t>
        </is>
      </c>
      <c r="B12" s="5" t="inlineStr">
        <is>
          <t>Jul–Aug 2026</t>
        </is>
      </c>
      <c r="C12" s="5" t="inlineStr">
        <is>
          <t>v1.3.0 — TensorRT-LLM NVFP4 in production, golden evaluation, RAG overhaul, QASC 2026 paper</t>
        </is>
      </c>
      <c r="D12" s="5" t="n">
        <v>39</v>
      </c>
      <c r="E12" s="5" t="inlineStr">
        <is>
          <t>RV-2026-01, RV-2026-02</t>
        </is>
      </c>
      <c r="F12" s="5">
        <f>COUNTIF('Review log'!$C:$C,A12)</f>
        <v/>
      </c>
      <c r="G12" s="5">
        <f>SUMIF('Action log'!$C:$C,A12,'Action log'!$K:$K)</f>
        <v/>
      </c>
      <c r="H12" s="5">
        <f>SUMIFS('Action log'!$K:$K,'Action log'!$C:$C,A12,'Action log'!$F:$F,"Closed*")</f>
        <v/>
      </c>
      <c r="I12" s="9" t="inlineStr">
        <is>
          <t>Held</t>
        </is>
      </c>
    </row>
    <row r="13">
      <c r="A13" s="5" t="inlineStr">
        <is>
          <t>P-2026-5</t>
        </is>
      </c>
      <c r="B13" s="5" t="inlineStr">
        <is>
          <t>Sep–Oct 2026</t>
        </is>
      </c>
      <c r="C13" s="5" t="inlineStr">
        <is>
          <t>v1.4.0 (2026-09-22) and v1.4.1 (2026-10-06) — released with release records; QMS approved</t>
        </is>
      </c>
      <c r="D13" s="5" t="n">
        <v>43</v>
      </c>
      <c r="E13" s="5" t="inlineStr">
        <is>
          <t>RV-2026-03, RV-2026-04, RV-2026-05, RV-2026-06, RV-2026-07, RV-2026-08</t>
        </is>
      </c>
      <c r="F13" s="5">
        <f>COUNTIF('Review log'!$C:$C,A13)</f>
        <v/>
      </c>
      <c r="G13" s="5">
        <f>SUMIF('Action log'!$C:$C,A13,'Action log'!$K:$K)</f>
        <v/>
      </c>
      <c r="H13" s="5">
        <f>SUMIFS('Action log'!$K:$K,'Action log'!$C:$C,A13,'Action log'!$F:$F,"Closed*")</f>
        <v/>
      </c>
      <c r="I13" s="9" t="inlineStr">
        <is>
          <t>Held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9" customWidth="1" min="4" max="4"/>
    <col width="13" customWidth="1" min="5" max="5"/>
    <col width="62" customWidth="1" min="6" max="6"/>
    <col width="34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>
      <c r="A1" s="6" t="inlineStr">
        <is>
          <t>Version reviews — v1.0.0 → v1.4.1 (2026)</t>
        </is>
      </c>
    </row>
    <row r="2">
      <c r="A2" s="7" t="inlineStr">
        <is>
          <t>v1.0.0–v1.3.0 are retrospective baselines tagged on 2026-10-12 on the last commit of each increment; v1.4.0 and v1.4.1 are releases with release records (REG-08). Counts are live formulas.</t>
        </is>
      </c>
    </row>
    <row r="4">
      <c r="A4" s="8" t="inlineStr">
        <is>
          <t>Version</t>
        </is>
      </c>
      <c r="B4" s="8" t="inlineStr">
        <is>
          <t>Type</t>
        </is>
      </c>
      <c r="C4" s="8" t="inlineStr">
        <is>
          <t>Date</t>
        </is>
      </c>
      <c r="D4" s="8" t="inlineStr">
        <is>
          <t>Commit</t>
        </is>
      </c>
      <c r="E4" s="8" t="inlineStr">
        <is>
          <t>Window</t>
        </is>
      </c>
      <c r="F4" s="8" t="inlineStr">
        <is>
          <t>Scope (from the commits)</t>
        </is>
      </c>
      <c r="G4" s="8" t="inlineStr">
        <is>
          <t>Version reviews</t>
        </is>
      </c>
      <c r="H4" s="8" t="inlineStr">
        <is>
          <t>Reviews</t>
        </is>
      </c>
      <c r="I4" s="8" t="inlineStr">
        <is>
          <t>Actions raised</t>
        </is>
      </c>
      <c r="J4" s="8" t="inlineStr">
        <is>
          <t>Actions closed</t>
        </is>
      </c>
      <c r="K4" s="8" t="inlineStr">
        <is>
          <t>Review status</t>
        </is>
      </c>
    </row>
    <row r="5">
      <c r="A5" s="5" t="inlineStr">
        <is>
          <t>v1.0.0</t>
        </is>
      </c>
      <c r="B5" s="5" t="inlineStr">
        <is>
          <t>Retrospective baseline</t>
        </is>
      </c>
      <c r="C5" s="5" t="inlineStr">
        <is>
          <t>2026-02-27</t>
        </is>
      </c>
      <c r="D5" s="5" t="inlineStr">
        <is>
          <t>595b24b</t>
        </is>
      </c>
      <c r="E5" s="5" t="inlineStr">
        <is>
          <t>Jan–Feb 2026</t>
        </is>
      </c>
      <c r="F5" s="5" t="inlineStr">
        <is>
          <t>2025 code ported to the DGX Spark; knowledge chat with citations; live transcription; Kyutai speech; voice with barge-in; wake word and listen-only</t>
        </is>
      </c>
      <c r="G5" s="5" t="inlineStr">
        <is>
          <t>CR-2026-01, CR-2026-02, CR-2026-03</t>
        </is>
      </c>
      <c r="H5" s="5">
        <f>COUNTIF('Review log'!$O:$O,A5)</f>
        <v/>
      </c>
      <c r="I5" s="5">
        <f>SUMIF('Action log'!$L:$L,A5,'Action log'!$K:$K)</f>
        <v/>
      </c>
      <c r="J5" s="5">
        <f>SUMIFS('Action log'!$K:$K,'Action log'!$L:$L,A5,'Action log'!$F:$F,"Closed*")</f>
        <v/>
      </c>
      <c r="K5" s="9" t="inlineStr">
        <is>
          <t>Held</t>
        </is>
      </c>
    </row>
    <row r="6">
      <c r="A6" s="5" t="inlineStr">
        <is>
          <t>v1.1.0</t>
        </is>
      </c>
      <c r="B6" s="5" t="inlineStr">
        <is>
          <t>Retrospective baseline</t>
        </is>
      </c>
      <c r="C6" s="5" t="inlineStr">
        <is>
          <t>2026-04-29</t>
        </is>
      </c>
      <c r="D6" s="5" t="inlineStr">
        <is>
          <t>e5292f3</t>
        </is>
      </c>
      <c r="E6" s="5" t="inlineStr">
        <is>
          <t>Mar–Apr 2026</t>
        </is>
      </c>
      <c r="F6" s="5" t="inlineStr">
        <is>
          <t>DoD FMR knowledge base (section and TOC retrieval); financial assistant; TensorRT-LLM integrated; own dual-loop voice; Nemotron speech; personas; offline preparation</t>
        </is>
      </c>
      <c r="G6" s="5" t="inlineStr">
        <is>
          <t>CR-2026-04, CR-2026-05, CR-2026-06, CR-2026-07</t>
        </is>
      </c>
      <c r="H6" s="5">
        <f>COUNTIF('Review log'!$O:$O,A6)</f>
        <v/>
      </c>
      <c r="I6" s="5">
        <f>SUMIF('Action log'!$L:$L,A6,'Action log'!$K:$K)</f>
        <v/>
      </c>
      <c r="J6" s="5">
        <f>SUMIFS('Action log'!$K:$K,'Action log'!$L:$L,A6,'Action log'!$F:$F,"Closed*")</f>
        <v/>
      </c>
      <c r="K6" s="9" t="inlineStr">
        <is>
          <t>Held</t>
        </is>
      </c>
    </row>
    <row r="7">
      <c r="A7" s="5" t="inlineStr">
        <is>
          <t>v1.2.0</t>
        </is>
      </c>
      <c r="B7" s="5" t="inlineStr">
        <is>
          <t>Retrospective baseline</t>
        </is>
      </c>
      <c r="C7" s="5" t="inlineStr">
        <is>
          <t>2026-06-27</t>
        </is>
      </c>
      <c r="D7" s="5" t="inlineStr">
        <is>
          <t>46bd774</t>
        </is>
      </c>
      <c r="E7" s="5" t="inlineStr">
        <is>
          <t>May–Jun 2026</t>
        </is>
      </c>
      <c r="F7" s="5" t="inlineStr">
        <is>
          <t>Silent Assistant; Boardroom; code-audit fixes; Document Studio; Parakeet final STT; login, roles, tenancy, export gateway; vertical packs; public reference instance</t>
        </is>
      </c>
      <c r="G7" s="5" t="inlineStr">
        <is>
          <t>CR-2026-08, SR-2026-01, CR-2026-09</t>
        </is>
      </c>
      <c r="H7" s="5">
        <f>COUNTIF('Review log'!$O:$O,A7)</f>
        <v/>
      </c>
      <c r="I7" s="5">
        <f>SUMIF('Action log'!$L:$L,A7,'Action log'!$K:$K)</f>
        <v/>
      </c>
      <c r="J7" s="5">
        <f>SUMIFS('Action log'!$K:$K,'Action log'!$L:$L,A7,'Action log'!$F:$F,"Closed*")</f>
        <v/>
      </c>
      <c r="K7" s="9" t="inlineStr">
        <is>
          <t>Held</t>
        </is>
      </c>
    </row>
    <row r="8">
      <c r="A8" s="5" t="inlineStr">
        <is>
          <t>v1.3.0</t>
        </is>
      </c>
      <c r="B8" s="5" t="inlineStr">
        <is>
          <t>Retrospective baseline</t>
        </is>
      </c>
      <c r="C8" s="5" t="inlineStr">
        <is>
          <t>2026-08-16</t>
        </is>
      </c>
      <c r="D8" s="5" t="inlineStr">
        <is>
          <t>bc9aa33</t>
        </is>
      </c>
      <c r="E8" s="5" t="inlineStr">
        <is>
          <t>Jul–Aug 2026</t>
        </is>
      </c>
      <c r="F8" s="5" t="inlineStr">
        <is>
          <t>TensorRT-LLM NVFP4 in production; golden evaluation; retrieval fixes; RAG ingestion overhaul; Silent Assistant v2; QASC 2026 results</t>
        </is>
      </c>
      <c r="G8" s="5" t="inlineStr">
        <is>
          <t>RV-2026-01, RV-2026-02</t>
        </is>
      </c>
      <c r="H8" s="5">
        <f>COUNTIF('Review log'!$O:$O,A8)</f>
        <v/>
      </c>
      <c r="I8" s="5">
        <f>SUMIF('Action log'!$L:$L,A8,'Action log'!$K:$K)</f>
        <v/>
      </c>
      <c r="J8" s="5">
        <f>SUMIFS('Action log'!$K:$K,'Action log'!$L:$L,A8,'Action log'!$F:$F,"Closed*")</f>
        <v/>
      </c>
      <c r="K8" s="9" t="inlineStr">
        <is>
          <t>Held</t>
        </is>
      </c>
    </row>
    <row r="9">
      <c r="A9" s="5" t="inlineStr">
        <is>
          <t>v1.4.0</t>
        </is>
      </c>
      <c r="B9" s="5" t="inlineStr">
        <is>
          <t>Release (FRM-03)</t>
        </is>
      </c>
      <c r="C9" s="5" t="inlineStr">
        <is>
          <t>2026-09-22</t>
        </is>
      </c>
      <c r="D9" s="5" t="inlineStr">
        <is>
          <t>eaa7b1a</t>
        </is>
      </c>
      <c r="E9" s="5" t="inlineStr">
        <is>
          <t>Sep 2026</t>
        </is>
      </c>
      <c r="F9" s="5" t="inlineStr">
        <is>
          <t>Voice redesign (speculative replies, tool routing); release identification; backup and restore; QMS documentation</t>
        </is>
      </c>
      <c r="G9" s="5" t="inlineStr">
        <is>
          <t>RV-2026-03, RV-2026-04, RV-2026-05, RV-2026-06</t>
        </is>
      </c>
      <c r="H9" s="5">
        <f>COUNTIF('Review log'!$O:$O,A9)</f>
        <v/>
      </c>
      <c r="I9" s="5">
        <f>SUMIF('Action log'!$L:$L,A9,'Action log'!$K:$K)</f>
        <v/>
      </c>
      <c r="J9" s="5">
        <f>SUMIFS('Action log'!$K:$K,'Action log'!$L:$L,A9,'Action log'!$F:$F,"Closed*")</f>
        <v/>
      </c>
      <c r="K9" s="9" t="inlineStr">
        <is>
          <t>Held</t>
        </is>
      </c>
    </row>
    <row r="10">
      <c r="A10" s="5" t="inlineStr">
        <is>
          <t>v1.4.1</t>
        </is>
      </c>
      <c r="B10" s="5" t="inlineStr">
        <is>
          <t>Release (FRM-03)</t>
        </is>
      </c>
      <c r="C10" s="5" t="inlineStr">
        <is>
          <t>2026-10-06</t>
        </is>
      </c>
      <c r="D10" s="5" t="inlineStr">
        <is>
          <t>f1b8445</t>
        </is>
      </c>
      <c r="E10" s="5" t="inlineStr">
        <is>
          <t>Oct 2026</t>
        </is>
      </c>
      <c r="F10" s="5" t="inlineStr">
        <is>
          <t>Defect fixes from acceptance testing; CI; external login check; CPU fallback for speech and embeddings</t>
        </is>
      </c>
      <c r="G10" s="5" t="inlineStr">
        <is>
          <t>RV-2026-07, RV-2026-08</t>
        </is>
      </c>
      <c r="H10" s="5">
        <f>COUNTIF('Review log'!$O:$O,A10)</f>
        <v/>
      </c>
      <c r="I10" s="5">
        <f>SUMIF('Action log'!$L:$L,A10,'Action log'!$K:$K)</f>
        <v/>
      </c>
      <c r="J10" s="5">
        <f>SUMIFS('Action log'!$K:$K,'Action log'!$L:$L,A10,'Action log'!$F:$F,"Closed*")</f>
        <v/>
      </c>
      <c r="K10" s="9" t="inlineStr">
        <is>
          <t>Held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30" customWidth="1" min="5" max="5"/>
    <col width="20" customWidth="1" min="6" max="6"/>
    <col width="11" customWidth="1" min="7" max="7"/>
    <col width="28" customWidth="1" min="8" max="8"/>
    <col width="50" customWidth="1" min="9" max="9"/>
    <col width="36" customWidth="1" min="10" max="10"/>
    <col width="34" customWidth="1" min="11" max="11"/>
    <col width="8" customWidth="1" min="12" max="12"/>
    <col width="8" customWidth="1" min="13" max="13"/>
    <col width="7" customWidth="1" min="14" max="14"/>
    <col width="14" customWidth="1" min="15" max="15"/>
  </cols>
  <sheetData>
    <row r="1">
      <c r="A1" s="6" t="inlineStr">
        <is>
          <t>Review log — 2025 → 2026</t>
        </is>
      </c>
    </row>
    <row r="2">
      <c r="A2" s="7" t="inlineStr">
        <is>
          <t>Every review is backed by a record (minute, review document, audit report, commit or test run).</t>
        </is>
      </c>
    </row>
    <row r="4">
      <c r="A4" s="8" t="inlineStr">
        <is>
          <t>Review ID</t>
        </is>
      </c>
      <c r="B4" s="8" t="inlineStr">
        <is>
          <t>Date</t>
        </is>
      </c>
      <c r="C4" s="8" t="inlineStr">
        <is>
          <t>Period</t>
        </is>
      </c>
      <c r="D4" s="8" t="inlineStr">
        <is>
          <t>Product / version reviewed</t>
        </is>
      </c>
      <c r="E4" s="8" t="inlineStr">
        <is>
          <t>Deliverable</t>
        </is>
      </c>
      <c r="F4" s="8" t="inlineStr">
        <is>
          <t>Review type</t>
        </is>
      </c>
      <c r="G4" s="8" t="inlineStr">
        <is>
          <t>Source</t>
        </is>
      </c>
      <c r="H4" s="8" t="inlineStr">
        <is>
          <t>Reviewed by</t>
        </is>
      </c>
      <c r="I4" s="8" t="inlineStr">
        <is>
          <t>Feedback / findings</t>
        </is>
      </c>
      <c r="J4" s="8" t="inlineStr">
        <is>
          <t>Decision / outcome</t>
        </is>
      </c>
      <c r="K4" s="8" t="inlineStr">
        <is>
          <t>Record / evidence</t>
        </is>
      </c>
      <c r="L4" s="8" t="inlineStr">
        <is>
          <t>Actions</t>
        </is>
      </c>
      <c r="M4" s="8" t="inlineStr">
        <is>
          <t>Closed</t>
        </is>
      </c>
      <c r="N4" s="8" t="inlineStr">
        <is>
          <t>Open</t>
        </is>
      </c>
      <c r="O4" s="8" t="inlineStr">
        <is>
          <t>Version</t>
        </is>
      </c>
    </row>
    <row r="5">
      <c r="A5" s="5" t="inlineStr">
        <is>
          <t>DR-2025-01</t>
        </is>
      </c>
      <c r="B5" s="5" t="inlineStr">
        <is>
          <t>2025-05-15</t>
        </is>
      </c>
      <c r="C5" s="5" t="inlineStr">
        <is>
          <t>P-2025-1</t>
        </is>
      </c>
      <c r="D5" s="5" t="inlineStr">
        <is>
          <t>2025 appliance (pre-release)</t>
        </is>
      </c>
      <c r="E5" s="5" t="inlineStr">
        <is>
          <t>System architecture design</t>
        </is>
      </c>
      <c r="F5" s="5" t="inlineStr">
        <is>
          <t>Design review</t>
        </is>
      </c>
      <c r="G5" s="5" t="inlineStr">
        <is>
          <t>Internal</t>
        </is>
      </c>
      <c r="H5" s="5" t="inlineStr">
        <is>
          <t>Alexander Peter (EchoMind Project Lead)</t>
        </is>
      </c>
      <c r="I5" s="5" t="inlineStr">
        <is>
          <t>Architecture reviewed against the offline RAG need</t>
        </is>
      </c>
      <c r="J5" s="5" t="inlineStr">
        <is>
          <t>Approved with minor corrections</t>
        </is>
      </c>
      <c r="K5" s="5" t="inlineStr">
        <is>
          <t>Deliverables Review DR-1.0 — MM-2025-05-01, Jira EMD-03</t>
        </is>
      </c>
      <c r="L5" s="5">
        <f>SUMIF('Action log'!$B:$B,A5,'Action log'!$K:$K)</f>
        <v/>
      </c>
      <c r="M5" s="5">
        <f>SUMIFS('Action log'!$K:$K,'Action log'!$B:$B,A5,'Action log'!$F:$F,"Closed*")</f>
        <v/>
      </c>
      <c r="N5" s="5">
        <f>L5-M5</f>
        <v/>
      </c>
      <c r="O5" s="5" t="inlineStr">
        <is>
          <t>2025 appliance</t>
        </is>
      </c>
    </row>
    <row r="6">
      <c r="A6" s="5" t="inlineStr">
        <is>
          <t>DR-2025-02</t>
        </is>
      </c>
      <c r="B6" s="5" t="inlineStr">
        <is>
          <t>2025-05-18</t>
        </is>
      </c>
      <c r="C6" s="5" t="inlineStr">
        <is>
          <t>P-2025-1</t>
        </is>
      </c>
      <c r="D6" s="5" t="inlineStr">
        <is>
          <t>2025 appliance (pre-release)</t>
        </is>
      </c>
      <c r="E6" s="5" t="inlineStr">
        <is>
          <t>Architecture alignment workshop</t>
        </is>
      </c>
      <c r="F6" s="5" t="inlineStr">
        <is>
          <t>Design review (meeting)</t>
        </is>
      </c>
      <c r="G6" s="5" t="inlineStr">
        <is>
          <t>Internal</t>
        </is>
      </c>
      <c r="H6" s="5" t="inlineStr">
        <is>
          <t>Alexander Peter (chair); Project Manager, Lead Architect, QA Lead</t>
        </is>
      </c>
      <c r="I6" s="5" t="inlineStr">
        <is>
          <t>Diagrams validated; concern about GPU memory allocation; QA asked for early prototype testing</t>
        </is>
      </c>
      <c r="J6" s="5" t="inlineStr">
        <is>
          <t>Draft accepted with minor updates; prototype fast-tracked for June</t>
        </is>
      </c>
      <c r="K6" s="5" t="inlineStr">
        <is>
          <t>Minutes MM-ECHO-2025-05</t>
        </is>
      </c>
      <c r="L6" s="5">
        <f>SUMIF('Action log'!$B:$B,A6,'Action log'!$K:$K)</f>
        <v/>
      </c>
      <c r="M6" s="5">
        <f>SUMIFS('Action log'!$K:$K,'Action log'!$B:$B,A6,'Action log'!$F:$F,"Closed*")</f>
        <v/>
      </c>
      <c r="N6" s="5">
        <f>L6-M6</f>
        <v/>
      </c>
      <c r="O6" s="5" t="inlineStr">
        <is>
          <t>2025 appliance</t>
        </is>
      </c>
    </row>
    <row r="7">
      <c r="A7" s="5" t="inlineStr">
        <is>
          <t>DR-2025-03</t>
        </is>
      </c>
      <c r="B7" s="5" t="inlineStr">
        <is>
          <t>2025-05-22</t>
        </is>
      </c>
      <c r="C7" s="5" t="inlineStr">
        <is>
          <t>P-2025-1</t>
        </is>
      </c>
      <c r="D7" s="5" t="inlineStr">
        <is>
          <t>2025 appliance (pre-release)</t>
        </is>
      </c>
      <c r="E7" s="5" t="inlineStr">
        <is>
          <t>Requirement validation</t>
        </is>
      </c>
      <c r="F7" s="5" t="inlineStr">
        <is>
          <t>Requirements review</t>
        </is>
      </c>
      <c r="G7" s="5" t="inlineStr">
        <is>
          <t>Internal</t>
        </is>
      </c>
      <c r="H7" s="5" t="inlineStr">
        <is>
          <t>AJACE PM / Quality team</t>
        </is>
      </c>
      <c r="I7" s="5" t="inlineStr">
        <is>
          <t>Requirements validated</t>
        </is>
      </c>
      <c r="J7" s="5" t="inlineStr">
        <is>
          <t>Approved</t>
        </is>
      </c>
      <c r="K7" s="5" t="inlineStr">
        <is>
          <t>Acceptance Criteria Review ACC-1.0 — MM-2025-05-02, Jira REQ-2025-05</t>
        </is>
      </c>
      <c r="L7" s="5">
        <f>SUMIF('Action log'!$B:$B,A7,'Action log'!$K:$K)</f>
        <v/>
      </c>
      <c r="M7" s="5">
        <f>SUMIFS('Action log'!$K:$K,'Action log'!$B:$B,A7,'Action log'!$F:$F,"Closed*")</f>
        <v/>
      </c>
      <c r="N7" s="5">
        <f>L7-M7</f>
        <v/>
      </c>
      <c r="O7" s="5" t="inlineStr">
        <is>
          <t>2025 appliance</t>
        </is>
      </c>
    </row>
    <row r="8">
      <c r="A8" s="5" t="inlineStr">
        <is>
          <t>DR-2025-04</t>
        </is>
      </c>
      <c r="B8" s="5" t="inlineStr">
        <is>
          <t>2025-06-05</t>
        </is>
      </c>
      <c r="C8" s="5" t="inlineStr">
        <is>
          <t>P-2025-1</t>
        </is>
      </c>
      <c r="D8" s="5" t="inlineStr">
        <is>
          <t>2025 appliance (pre-release)</t>
        </is>
      </c>
      <c r="E8" s="5" t="inlineStr">
        <is>
          <t>Deployment sprint planning</t>
        </is>
      </c>
      <c r="F8" s="5" t="inlineStr">
        <is>
          <t>Schedule review</t>
        </is>
      </c>
      <c r="G8" s="5" t="inlineStr">
        <is>
          <t>Internal</t>
        </is>
      </c>
      <c r="H8" s="5" t="inlineStr">
        <is>
          <t>AJACE PM team</t>
        </is>
      </c>
      <c r="I8" s="5" t="inlineStr">
        <is>
          <t>Deployment sprint scope and dates</t>
        </is>
      </c>
      <c r="J8" s="5" t="inlineStr">
        <is>
          <t>Scheduled</t>
        </is>
      </c>
      <c r="K8" s="5" t="inlineStr">
        <is>
          <t>Scheduling Review SCH-1.0 — MM-2025-06-01, Jira Sprint-2025-06</t>
        </is>
      </c>
      <c r="L8" s="5">
        <f>SUMIF('Action log'!$B:$B,A8,'Action log'!$K:$K)</f>
        <v/>
      </c>
      <c r="M8" s="5">
        <f>SUMIFS('Action log'!$K:$K,'Action log'!$B:$B,A8,'Action log'!$F:$F,"Closed*")</f>
        <v/>
      </c>
      <c r="N8" s="5">
        <f>L8-M8</f>
        <v/>
      </c>
      <c r="O8" s="5" t="inlineStr">
        <is>
          <t>2025 appliance</t>
        </is>
      </c>
    </row>
    <row r="9">
      <c r="A9" s="5" t="inlineStr">
        <is>
          <t>DR-2025-05</t>
        </is>
      </c>
      <c r="B9" s="5" t="inlineStr">
        <is>
          <t>2025-07-10</t>
        </is>
      </c>
      <c r="C9" s="5" t="inlineStr">
        <is>
          <t>P-2025-2</t>
        </is>
      </c>
      <c r="D9" s="5" t="inlineStr">
        <is>
          <t>2025 appliance (prototype)</t>
        </is>
      </c>
      <c r="E9" s="5" t="inlineStr">
        <is>
          <t>Prototype hardware</t>
        </is>
      </c>
      <c r="F9" s="5" t="inlineStr">
        <is>
          <t>Deliverable review</t>
        </is>
      </c>
      <c r="G9" s="5" t="inlineStr">
        <is>
          <t>Internal</t>
        </is>
      </c>
      <c r="H9" s="5" t="inlineStr">
        <is>
          <t>Alexander Peter (EchoMind Project Lead)</t>
        </is>
      </c>
      <c r="I9" s="5" t="inlineStr">
        <is>
          <t>Prototype hardware against the specification</t>
        </is>
      </c>
      <c r="J9" s="5" t="inlineStr">
        <is>
          <t>Approved</t>
        </is>
      </c>
      <c r="K9" s="5" t="inlineStr">
        <is>
          <t>Deliverables Review DR-1.0 — MM-2025-07-01, DocuSign SOW-2025-07</t>
        </is>
      </c>
      <c r="L9" s="5">
        <f>SUMIF('Action log'!$B:$B,A9,'Action log'!$K:$K)</f>
        <v/>
      </c>
      <c r="M9" s="5">
        <f>SUMIFS('Action log'!$K:$K,'Action log'!$B:$B,A9,'Action log'!$F:$F,"Closed*")</f>
        <v/>
      </c>
      <c r="N9" s="5">
        <f>L9-M9</f>
        <v/>
      </c>
      <c r="O9" s="5" t="inlineStr">
        <is>
          <t>2025 appliance</t>
        </is>
      </c>
    </row>
    <row r="10">
      <c r="A10" s="5" t="inlineStr">
        <is>
          <t>DR-2025-06</t>
        </is>
      </c>
      <c r="B10" s="5" t="inlineStr">
        <is>
          <t>2025-07-12</t>
        </is>
      </c>
      <c r="C10" s="5" t="inlineStr">
        <is>
          <t>P-2025-2</t>
        </is>
      </c>
      <c r="D10" s="5" t="inlineStr">
        <is>
          <t>2025 appliance (prototype)</t>
        </is>
      </c>
      <c r="E10" s="5" t="inlineStr">
        <is>
          <t>QA sprint planning</t>
        </is>
      </c>
      <c r="F10" s="5" t="inlineStr">
        <is>
          <t>Test planning review (meeting)</t>
        </is>
      </c>
      <c r="G10" s="5" t="inlineStr">
        <is>
          <t>Internal</t>
        </is>
      </c>
      <c r="H10" s="5" t="inlineStr">
        <is>
          <t>Alexander Peter (chair); QA Manager, Project Manager, Dev Lead</t>
        </is>
      </c>
      <c r="I10" s="5" t="inlineStr">
        <is>
          <t>QA backlog prioritised; transcription tests scheduled; defect triage twice a week</t>
        </is>
      </c>
      <c r="J10" s="5" t="inlineStr">
        <is>
          <t>QA sprint plan approved; defect triage from 2025-07-15</t>
        </is>
      </c>
      <c r="K10" s="5" t="inlineStr">
        <is>
          <t>Minutes MM-ECHO-2025-07; SCH-1.0 MM-2025-07-02</t>
        </is>
      </c>
      <c r="L10" s="5">
        <f>SUMIF('Action log'!$B:$B,A10,'Action log'!$K:$K)</f>
        <v/>
      </c>
      <c r="M10" s="5">
        <f>SUMIFS('Action log'!$K:$K,'Action log'!$B:$B,A10,'Action log'!$F:$F,"Closed*")</f>
        <v/>
      </c>
      <c r="N10" s="5">
        <f>L10-M10</f>
        <v/>
      </c>
      <c r="O10" s="5" t="inlineStr">
        <is>
          <t>2025 appliance</t>
        </is>
      </c>
    </row>
    <row r="11">
      <c r="A11" s="5" t="inlineStr">
        <is>
          <t>DR-2025-07</t>
        </is>
      </c>
      <c r="B11" s="5" t="inlineStr">
        <is>
          <t>2025-07-15</t>
        </is>
      </c>
      <c r="C11" s="5" t="inlineStr">
        <is>
          <t>P-2025-2</t>
        </is>
      </c>
      <c r="D11" s="5" t="inlineStr">
        <is>
          <t>2025 appliance (prototype)</t>
        </is>
      </c>
      <c r="E11" s="5" t="inlineStr">
        <is>
          <t>Acceptance criteria mapping</t>
        </is>
      </c>
      <c r="F11" s="5" t="inlineStr">
        <is>
          <t>Acceptance criteria review</t>
        </is>
      </c>
      <c r="G11" s="5" t="inlineStr">
        <is>
          <t>Internal</t>
        </is>
      </c>
      <c r="H11" s="5" t="inlineStr">
        <is>
          <t>AJACE Quality / UAT team</t>
        </is>
      </c>
      <c r="I11" s="5" t="inlineStr">
        <is>
          <t>Acceptance criteria mapped to test cases</t>
        </is>
      </c>
      <c r="J11" s="5" t="inlineStr">
        <is>
          <t>Completed</t>
        </is>
      </c>
      <c r="K11" s="5" t="inlineStr">
        <is>
          <t>ACC-1.0 — MM-2025-07-03, test case TC-07</t>
        </is>
      </c>
      <c r="L11" s="5">
        <f>SUMIF('Action log'!$B:$B,A11,'Action log'!$K:$K)</f>
        <v/>
      </c>
      <c r="M11" s="5">
        <f>SUMIFS('Action log'!$K:$K,'Action log'!$B:$B,A11,'Action log'!$F:$F,"Closed*")</f>
        <v/>
      </c>
      <c r="N11" s="5">
        <f>L11-M11</f>
        <v/>
      </c>
      <c r="O11" s="5" t="inlineStr">
        <is>
          <t>2025 appliance</t>
        </is>
      </c>
    </row>
    <row r="12">
      <c r="A12" s="5" t="inlineStr">
        <is>
          <t>DR-2025-08</t>
        </is>
      </c>
      <c r="B12" s="5" t="inlineStr">
        <is>
          <t>2025-08-03</t>
        </is>
      </c>
      <c r="C12" s="5" t="inlineStr">
        <is>
          <t>P-2025-2</t>
        </is>
      </c>
      <c r="D12" s="5" t="inlineStr">
        <is>
          <t>2025 appliance (prototype)</t>
        </is>
      </c>
      <c r="E12" s="5" t="inlineStr">
        <is>
          <t>Technical documentation (draft v0.9)</t>
        </is>
      </c>
      <c r="F12" s="5" t="inlineStr">
        <is>
          <t>Document review</t>
        </is>
      </c>
      <c r="G12" s="5" t="inlineStr">
        <is>
          <t>Internal</t>
        </is>
      </c>
      <c r="H12" s="5" t="inlineStr">
        <is>
          <t>Alexander Peter (Project Lead); Antony Johan (Project Sponsor)</t>
        </is>
      </c>
      <c r="I12" s="5" t="inlineStr">
        <is>
          <t>Draft technical documentation reviewed</t>
        </is>
      </c>
      <c r="J12" s="5" t="inlineStr">
        <is>
          <t>Review logged; outcome not stated in the record</t>
        </is>
      </c>
      <c r="K12" s="5" t="inlineStr">
        <is>
          <t>‘Deliverables formally logged and analysed’ record</t>
        </is>
      </c>
      <c r="L12" s="5">
        <f>SUMIF('Action log'!$B:$B,A12,'Action log'!$K:$K)</f>
        <v/>
      </c>
      <c r="M12" s="5">
        <f>SUMIFS('Action log'!$K:$K,'Action log'!$B:$B,A12,'Action log'!$F:$F,"Closed*")</f>
        <v/>
      </c>
      <c r="N12" s="5">
        <f>L12-M12</f>
        <v/>
      </c>
      <c r="O12" s="5" t="inlineStr">
        <is>
          <t>2025 appliance</t>
        </is>
      </c>
    </row>
    <row r="13">
      <c r="A13" s="5" t="inlineStr">
        <is>
          <t>DR-2025-09</t>
        </is>
      </c>
      <c r="B13" s="5" t="inlineStr">
        <is>
          <t>2025-08-05</t>
        </is>
      </c>
      <c r="C13" s="5" t="inlineStr">
        <is>
          <t>P-2025-2</t>
        </is>
      </c>
      <c r="D13" s="5" t="inlineStr">
        <is>
          <t>2025 appliance</t>
        </is>
      </c>
      <c r="E13" s="5" t="inlineStr">
        <is>
          <t>Statement of work (requirements)</t>
        </is>
      </c>
      <c r="F13" s="5" t="inlineStr">
        <is>
          <t>Requirements review with the customer</t>
        </is>
      </c>
      <c r="G13" s="5" t="inlineStr">
        <is>
          <t>Client</t>
        </is>
      </c>
      <c r="H13" s="5" t="inlineStr">
        <is>
          <t>2025 university pilot customer procurement office; AJACE</t>
        </is>
      </c>
      <c r="I13" s="5" t="inlineStr">
        <is>
          <t>Requirements: fully offline on-premises AI system; Pilot Program BYOA (application and consulting, onsite setup)</t>
        </is>
      </c>
      <c r="J13" s="5" t="inlineStr">
        <is>
          <t>SOW signed by both parties</t>
        </is>
      </c>
      <c r="K13" s="5" t="inlineStr">
        <is>
          <t>DocuSign envelope (ID in the controlled copy); ECH-QMS-010</t>
        </is>
      </c>
      <c r="L13" s="5">
        <f>SUMIF('Action log'!$B:$B,A13,'Action log'!$K:$K)</f>
        <v/>
      </c>
      <c r="M13" s="5">
        <f>SUMIFS('Action log'!$K:$K,'Action log'!$B:$B,A13,'Action log'!$F:$F,"Closed*")</f>
        <v/>
      </c>
      <c r="N13" s="5">
        <f>L13-M13</f>
        <v/>
      </c>
      <c r="O13" s="5" t="inlineStr">
        <is>
          <t>2025 appliance</t>
        </is>
      </c>
    </row>
    <row r="14">
      <c r="A14" s="5" t="inlineStr">
        <is>
          <t>DR-2025-10</t>
        </is>
      </c>
      <c r="B14" s="5" t="inlineStr">
        <is>
          <t>2025-08-25</t>
        </is>
      </c>
      <c r="C14" s="5" t="inlineStr">
        <is>
          <t>P-2025-2</t>
        </is>
      </c>
      <c r="D14" s="5" t="inlineStr">
        <is>
          <t>2025 appliance</t>
        </is>
      </c>
      <c r="E14" s="5" t="inlineStr">
        <is>
          <t>Final delivery milestones</t>
        </is>
      </c>
      <c r="F14" s="5" t="inlineStr">
        <is>
          <t>Schedule review</t>
        </is>
      </c>
      <c r="G14" s="5" t="inlineStr">
        <is>
          <t>Internal</t>
        </is>
      </c>
      <c r="H14" s="5" t="inlineStr">
        <is>
          <t>AJACE PM team</t>
        </is>
      </c>
      <c r="I14" s="5" t="inlineStr">
        <is>
          <t>Contract milestones checked</t>
        </is>
      </c>
      <c r="J14" s="5" t="inlineStr">
        <is>
          <t>Validated</t>
        </is>
      </c>
      <c r="K14" s="5" t="inlineStr">
        <is>
          <t>SCH-1.0 — MM-2025-08-01, contract milestone sheet</t>
        </is>
      </c>
      <c r="L14" s="5">
        <f>SUMIF('Action log'!$B:$B,A14,'Action log'!$K:$K)</f>
        <v/>
      </c>
      <c r="M14" s="5">
        <f>SUMIFS('Action log'!$K:$K,'Action log'!$B:$B,A14,'Action log'!$F:$F,"Closed*")</f>
        <v/>
      </c>
      <c r="N14" s="5">
        <f>L14-M14</f>
        <v/>
      </c>
      <c r="O14" s="5" t="inlineStr">
        <is>
          <t>2025 appliance</t>
        </is>
      </c>
    </row>
    <row r="15">
      <c r="A15" s="5" t="inlineStr">
        <is>
          <t>DR-2025-11</t>
        </is>
      </c>
      <c r="B15" s="5" t="inlineStr">
        <is>
          <t>2025-09-05</t>
        </is>
      </c>
      <c r="C15" s="5" t="inlineStr">
        <is>
          <t>P-2025-3</t>
        </is>
      </c>
      <c r="D15" s="5" t="inlineStr">
        <is>
          <t>2025 appliance</t>
        </is>
      </c>
      <c r="E15" s="5" t="inlineStr">
        <is>
          <t>Design against SOW</t>
        </is>
      </c>
      <c r="F15" s="5" t="inlineStr">
        <is>
          <t>Design verification review</t>
        </is>
      </c>
      <c r="G15" s="5" t="inlineStr">
        <is>
          <t>Internal</t>
        </is>
      </c>
      <c r="H15" s="5" t="inlineStr">
        <is>
          <t>AJACE Quality / UAT team</t>
        </is>
      </c>
      <c r="I15" s="5" t="inlineStr">
        <is>
          <t>Design checked against the SOW</t>
        </is>
      </c>
      <c r="J15" s="5" t="inlineStr">
        <is>
          <t>Closed</t>
        </is>
      </c>
      <c r="K15" s="5" t="inlineStr">
        <is>
          <t>ACC-1.0 — MM-2025-09-02, DocuSign SOW-2025-09</t>
        </is>
      </c>
      <c r="L15" s="5">
        <f>SUMIF('Action log'!$B:$B,A15,'Action log'!$K:$K)</f>
        <v/>
      </c>
      <c r="M15" s="5">
        <f>SUMIFS('Action log'!$K:$K,'Action log'!$B:$B,A15,'Action log'!$F:$F,"Closed*")</f>
        <v/>
      </c>
      <c r="N15" s="5">
        <f>L15-M15</f>
        <v/>
      </c>
      <c r="O15" s="5" t="inlineStr">
        <is>
          <t>2025 appliance</t>
        </is>
      </c>
    </row>
    <row r="16">
      <c r="A16" s="5" t="inlineStr">
        <is>
          <t>DR-2025-12</t>
        </is>
      </c>
      <c r="B16" s="5" t="inlineStr">
        <is>
          <t>2025-09-14</t>
        </is>
      </c>
      <c r="C16" s="5" t="inlineStr">
        <is>
          <t>P-2025-3</t>
        </is>
      </c>
      <c r="D16" s="5" t="inlineStr">
        <is>
          <t>2025 appliance</t>
        </is>
      </c>
      <c r="E16" s="5" t="inlineStr">
        <is>
          <t>Provider performance</t>
        </is>
      </c>
      <c r="F16" s="5" t="inlineStr">
        <is>
          <t>Provider review (meeting)</t>
        </is>
      </c>
      <c r="G16" s="5" t="inlineStr">
        <is>
          <t>Internal</t>
        </is>
      </c>
      <c r="H16" s="5" t="inlineStr">
        <is>
          <t>Alexander Peter (chair); Procurement Lead, Project Manager, Operations Lead</t>
        </is>
      </c>
      <c r="I16" s="5" t="inlineStr">
        <is>
          <t>July batch on time, August batch late; one hardware defect returned</t>
        </is>
      </c>
      <c r="J16" s="5" t="inlineStr">
        <is>
          <t>Supplier satisfactory; extra QA checks at delivery</t>
        </is>
      </c>
      <c r="K16" s="5" t="inlineStr">
        <is>
          <t>Minutes MM-ECHO-2025-09</t>
        </is>
      </c>
      <c r="L16" s="5">
        <f>SUMIF('Action log'!$B:$B,A16,'Action log'!$K:$K)</f>
        <v/>
      </c>
      <c r="M16" s="5">
        <f>SUMIFS('Action log'!$K:$K,'Action log'!$B:$B,A16,'Action log'!$F:$F,"Closed*")</f>
        <v/>
      </c>
      <c r="N16" s="5">
        <f>L16-M16</f>
        <v/>
      </c>
      <c r="O16" s="5" t="inlineStr">
        <is>
          <t>2025 appliance</t>
        </is>
      </c>
    </row>
    <row r="17">
      <c r="A17" s="5" t="inlineStr">
        <is>
          <t>DR-2025-13</t>
        </is>
      </c>
      <c r="B17" s="5" t="inlineStr">
        <is>
          <t>2025-09-20</t>
        </is>
      </c>
      <c r="C17" s="5" t="inlineStr">
        <is>
          <t>P-2025-3</t>
        </is>
      </c>
      <c r="D17" s="5" t="inlineStr">
        <is>
          <t>2025 appliance</t>
        </is>
      </c>
      <c r="E17" s="5" t="inlineStr">
        <is>
          <t>Final release package</t>
        </is>
      </c>
      <c r="F17" s="5" t="inlineStr">
        <is>
          <t>Release review</t>
        </is>
      </c>
      <c r="G17" s="5" t="inlineStr">
        <is>
          <t>Internal</t>
        </is>
      </c>
      <c r="H17" s="5" t="inlineStr">
        <is>
          <t>Alexander Peter (EchoMind Project Lead)</t>
        </is>
      </c>
      <c r="I17" s="5" t="inlineStr">
        <is>
          <t>Release package and shipment checked</t>
        </is>
      </c>
      <c r="J17" s="5" t="inlineStr">
        <is>
          <t>Approved and released</t>
        </is>
      </c>
      <c r="K17" s="5" t="inlineStr">
        <is>
          <t>DR-1.0 — MM-2025-09-01, UPS tracking</t>
        </is>
      </c>
      <c r="L17" s="5">
        <f>SUMIF('Action log'!$B:$B,A17,'Action log'!$K:$K)</f>
        <v/>
      </c>
      <c r="M17" s="5">
        <f>SUMIFS('Action log'!$K:$K,'Action log'!$B:$B,A17,'Action log'!$F:$F,"Closed*")</f>
        <v/>
      </c>
      <c r="N17" s="5">
        <f>L17-M17</f>
        <v/>
      </c>
      <c r="O17" s="5" t="inlineStr">
        <is>
          <t>2025 appliance</t>
        </is>
      </c>
    </row>
    <row r="18">
      <c r="A18" s="5" t="inlineStr">
        <is>
          <t>DR-2025-14</t>
        </is>
      </c>
      <c r="B18" s="5" t="inlineStr">
        <is>
          <t>2025-09-24</t>
        </is>
      </c>
      <c r="C18" s="5" t="inlineStr">
        <is>
          <t>P-2025-3</t>
        </is>
      </c>
      <c r="D18" s="5" t="inlineStr">
        <is>
          <t>2025 appliance</t>
        </is>
      </c>
      <c r="E18" s="5" t="inlineStr">
        <is>
          <t>EchoMind area — internal audit</t>
        </is>
      </c>
      <c r="F18" s="5" t="inlineStr">
        <is>
          <t>Internal audit</t>
        </is>
      </c>
      <c r="G18" s="5" t="inlineStr">
        <is>
          <t>Internal audit</t>
        </is>
      </c>
      <c r="H18" s="5" t="inlineStr">
        <is>
          <t>Auditor VMK; auditee Alexander Peter</t>
        </is>
      </c>
      <c r="I18" s="5" t="inlineStr">
        <is>
          <t>6 observations: deliverable reviews not logged; no detailed schedule; acceptance criteria not documented; no provider review record; failed tests not documented; lessons not logged</t>
        </is>
      </c>
      <c r="J18" s="5" t="inlineStr">
        <is>
          <t>Corrective actions implemented 2025-10-08 → 10-11 and verified</t>
        </is>
      </c>
      <c r="K18" s="5" t="inlineStr">
        <is>
          <t>AFR (internal) rows 11–16</t>
        </is>
      </c>
      <c r="L18" s="5">
        <f>SUMIF('Action log'!$B:$B,A18,'Action log'!$K:$K)</f>
        <v/>
      </c>
      <c r="M18" s="5">
        <f>SUMIFS('Action log'!$K:$K,'Action log'!$B:$B,A18,'Action log'!$F:$F,"Closed*")</f>
        <v/>
      </c>
      <c r="N18" s="5">
        <f>L18-M18</f>
        <v/>
      </c>
      <c r="O18" s="5" t="inlineStr">
        <is>
          <t>2025 appliance</t>
        </is>
      </c>
    </row>
    <row r="19">
      <c r="A19" s="5" t="inlineStr">
        <is>
          <t>DR-2025-15</t>
        </is>
      </c>
      <c r="B19" s="5" t="inlineStr">
        <is>
          <t>2025-10-16</t>
        </is>
      </c>
      <c r="C19" s="5" t="inlineStr">
        <is>
          <t>P-2025-3</t>
        </is>
      </c>
      <c r="D19" s="5" t="inlineStr">
        <is>
          <t>2025 appliance</t>
        </is>
      </c>
      <c r="E19" s="5" t="inlineStr">
        <is>
          <t>AJACE Inc. — ISO 9001:2015 Stage 2 certification audit (EchoMind area)</t>
        </is>
      </c>
      <c r="F19" s="5" t="inlineStr">
        <is>
          <t>External audit</t>
        </is>
      </c>
      <c r="G19" s="5" t="inlineStr">
        <is>
          <t>External audit</t>
        </is>
      </c>
      <c r="H19" s="5" t="inlineStr">
        <is>
          <t>Auditor VMK; auditee Alexander Peter</t>
        </is>
      </c>
      <c r="I19" s="5" t="inlineStr">
        <is>
          <t>#6 (8.2.2, Minor NC) NFRs not recorded or monitored; #7 (9.1.1, Obs) no actions from review feedback; #10 (9.3.2, Minor NC) EchoMind hardware delay not in management review minutes</t>
        </is>
      </c>
      <c r="J19" s="5" t="inlineStr">
        <is>
          <t>#6 and #7 closed 2026-10-07 (EM26-17, EM26-18); #10 is a senior-management finding</t>
        </is>
      </c>
      <c r="K19" s="5" t="inlineStr">
        <is>
          <t>AFR Stage 2 — EchoMind</t>
        </is>
      </c>
      <c r="L19" s="5">
        <f>SUMIF('Action log'!$B:$B,A19,'Action log'!$K:$K)</f>
        <v/>
      </c>
      <c r="M19" s="5">
        <f>SUMIFS('Action log'!$K:$K,'Action log'!$B:$B,A19,'Action log'!$F:$F,"Closed*")</f>
        <v/>
      </c>
      <c r="N19" s="5">
        <f>L19-M19</f>
        <v/>
      </c>
      <c r="O19" s="5" t="inlineStr">
        <is>
          <t>2025 appliance</t>
        </is>
      </c>
    </row>
    <row r="20">
      <c r="A20" s="5" t="inlineStr">
        <is>
          <t>CR-2026-01</t>
        </is>
      </c>
      <c r="B20" s="5" t="inlineStr">
        <is>
          <t>2026-01</t>
        </is>
      </c>
      <c r="C20" s="5" t="inlineStr">
        <is>
          <t>P-2026-1</t>
        </is>
      </c>
      <c r="D20" s="5" t="inlineStr">
        <is>
          <t>Planning for v1.0.0 (2025 appliance as baseline)</t>
        </is>
      </c>
      <c r="E20" s="5" t="inlineStr">
        <is>
          <t>Platform for the next product generation</t>
        </is>
      </c>
      <c r="F20" s="5" t="inlineStr">
        <is>
          <t>Management / engineering review of the 2025 appliance against new hardware</t>
        </is>
      </c>
      <c r="G20" s="5" t="inlineStr">
        <is>
          <t>Internal</t>
        </is>
      </c>
      <c r="H20" s="5" t="inlineStr">
        <is>
          <t>EchoMind team</t>
        </is>
      </c>
      <c r="I20" s="5" t="inlineStr">
        <is>
          <t>A single-PC appliance limits capacity and portability; a portable AI supercomputer is now available</t>
        </is>
      </c>
      <c r="J20" s="5" t="inlineStr">
        <is>
          <t>Move to a portable AI supercomputer (DGX Spark)</t>
        </is>
      </c>
      <c r="K20" s="5" t="inlineStr">
        <is>
          <t>Decision recorded here; 4b90b36</t>
        </is>
      </c>
      <c r="L20" s="5">
        <f>SUMIF('Action log'!$B:$B,A20,'Action log'!$K:$K)</f>
        <v/>
      </c>
      <c r="M20" s="5">
        <f>SUMIFS('Action log'!$K:$K,'Action log'!$B:$B,A20,'Action log'!$F:$F,"Closed*")</f>
        <v/>
      </c>
      <c r="N20" s="5">
        <f>L20-M20</f>
        <v/>
      </c>
      <c r="O20" s="5" t="inlineStr">
        <is>
          <t>v1.0.0</t>
        </is>
      </c>
    </row>
    <row r="21">
      <c r="A21" s="5" t="inlineStr">
        <is>
          <t>CR-2026-02</t>
        </is>
      </c>
      <c r="B21" s="5" t="inlineStr">
        <is>
          <t>2026-03</t>
        </is>
      </c>
      <c r="C21" s="5" t="inlineStr">
        <is>
          <t>P-2026-2</t>
        </is>
      </c>
      <c r="D21" s="5" t="inlineStr">
        <is>
          <t>v1.0.0</t>
        </is>
      </c>
      <c r="E21" s="5" t="inlineStr">
        <is>
          <t>Requirements — Client A; Client B (Bahrain)</t>
        </is>
      </c>
      <c r="F21" s="5" t="inlineStr">
        <is>
          <t>Requirements review with the clients</t>
        </is>
      </c>
      <c r="G21" s="5" t="inlineStr">
        <is>
          <t>Client</t>
        </is>
      </c>
      <c r="H21" s="5" t="inlineStr">
        <is>
          <t>EchoMind team with the clients</t>
        </is>
      </c>
      <c r="I21" s="5" t="inlineStr">
        <is>
          <t>3 requirements: personal AI assistant; conversation assistance; DoD FMR financial knowledge base</t>
        </is>
      </c>
      <c r="J21" s="5" t="inlineStr">
        <is>
          <t>Requirements accepted; three workstreams opened</t>
        </is>
      </c>
      <c r="K21" s="5" t="inlineStr">
        <is>
          <t>95d3512, 18715c7</t>
        </is>
      </c>
      <c r="L21" s="5">
        <f>SUMIF('Action log'!$B:$B,A21,'Action log'!$K:$K)</f>
        <v/>
      </c>
      <c r="M21" s="5">
        <f>SUMIFS('Action log'!$K:$K,'Action log'!$B:$B,A21,'Action log'!$F:$F,"Closed*")</f>
        <v/>
      </c>
      <c r="N21" s="5">
        <f>L21-M21</f>
        <v/>
      </c>
      <c r="O21" s="5" t="inlineStr">
        <is>
          <t>v1.0.0</t>
        </is>
      </c>
    </row>
    <row r="22">
      <c r="A22" s="5" t="inlineStr">
        <is>
          <t>CR-2026-03</t>
        </is>
      </c>
      <c r="B22" s="5" t="inlineStr">
        <is>
          <t>2026-03</t>
        </is>
      </c>
      <c r="C22" s="5" t="inlineStr">
        <is>
          <t>P-2026-2</t>
        </is>
      </c>
      <c r="D22" s="5" t="inlineStr">
        <is>
          <t>v1.0.0 (conversation v1)</t>
        </is>
      </c>
      <c r="E22" s="5" t="inlineStr">
        <is>
          <t>Conversation assistance v1 (Kyutai Unmute stack)</t>
        </is>
      </c>
      <c r="F22" s="5" t="inlineStr">
        <is>
          <t>Client demonstration review</t>
        </is>
      </c>
      <c r="G22" s="5" t="inlineStr">
        <is>
          <t>Client</t>
        </is>
      </c>
      <c r="H22" s="5" t="inlineStr">
        <is>
          <t>Clients A and B</t>
        </is>
      </c>
      <c r="I22" s="5" t="inlineStr">
        <is>
          <t>Not natural; too slow</t>
        </is>
      </c>
      <c r="J22" s="5" t="inlineStr">
        <is>
          <t>Replace the Unmute stack (try PersonaPlex)</t>
        </is>
      </c>
      <c r="K22" s="5" t="inlineStr">
        <is>
          <t>4b90b36, bff6cf2</t>
        </is>
      </c>
      <c r="L22" s="5">
        <f>SUMIF('Action log'!$B:$B,A22,'Action log'!$K:$K)</f>
        <v/>
      </c>
      <c r="M22" s="5">
        <f>SUMIFS('Action log'!$K:$K,'Action log'!$B:$B,A22,'Action log'!$F:$F,"Closed*")</f>
        <v/>
      </c>
      <c r="N22" s="5">
        <f>L22-M22</f>
        <v/>
      </c>
      <c r="O22" s="5" t="inlineStr">
        <is>
          <t>v1.0.0</t>
        </is>
      </c>
    </row>
    <row r="23">
      <c r="A23" s="5" t="inlineStr">
        <is>
          <t>CR-2026-04</t>
        </is>
      </c>
      <c r="B23" s="5" t="inlineStr">
        <is>
          <t>2026-03</t>
        </is>
      </c>
      <c r="C23" s="5" t="inlineStr">
        <is>
          <t>P-2026-2</t>
        </is>
      </c>
      <c r="D23" s="5" t="inlineStr">
        <is>
          <t>v1.1.0 in development (conversation v2)</t>
        </is>
      </c>
      <c r="E23" s="5" t="inlineStr">
        <is>
          <t>Conversation assistance v2 (NVIDIA PersonaPlex)</t>
        </is>
      </c>
      <c r="F23" s="5" t="inlineStr">
        <is>
          <t>Client demonstration review</t>
        </is>
      </c>
      <c r="G23" s="5" t="inlineStr">
        <is>
          <t>Client</t>
        </is>
      </c>
      <c r="H23" s="5" t="inlineStr">
        <is>
          <t>Clients A and B</t>
        </is>
      </c>
      <c r="I23" s="5" t="inlineStr">
        <is>
          <t>Fast, but cannot use the customer's large knowledge base in spoken conversation</t>
        </is>
      </c>
      <c r="J23" s="5" t="inlineStr">
        <is>
          <t>Build our own dual-loop architecture</t>
        </is>
      </c>
      <c r="K23" s="5" t="inlineStr">
        <is>
          <t>ddc0aa3; QASC 2026 paper</t>
        </is>
      </c>
      <c r="L23" s="5">
        <f>SUMIF('Action log'!$B:$B,A23,'Action log'!$K:$K)</f>
        <v/>
      </c>
      <c r="M23" s="5">
        <f>SUMIFS('Action log'!$K:$K,'Action log'!$B:$B,A23,'Action log'!$F:$F,"Closed*")</f>
        <v/>
      </c>
      <c r="N23" s="5">
        <f>L23-M23</f>
        <v/>
      </c>
      <c r="O23" s="5" t="inlineStr">
        <is>
          <t>v1.1.0</t>
        </is>
      </c>
    </row>
    <row r="24">
      <c r="A24" s="5" t="inlineStr">
        <is>
          <t>CR-2026-05</t>
        </is>
      </c>
      <c r="B24" s="5" t="inlineStr">
        <is>
          <t>2026-04</t>
        </is>
      </c>
      <c r="C24" s="5" t="inlineStr">
        <is>
          <t>P-2026-2</t>
        </is>
      </c>
      <c r="D24" s="5" t="inlineStr">
        <is>
          <t>v1.1.0 in development</t>
        </is>
      </c>
      <c r="E24" s="5" t="inlineStr">
        <is>
          <t>Field deployment of the unit</t>
        </is>
      </c>
      <c r="F24" s="5" t="inlineStr">
        <is>
          <t>Design review</t>
        </is>
      </c>
      <c r="G24" s="5" t="inlineStr">
        <is>
          <t>Internal</t>
        </is>
      </c>
      <c r="H24" s="5" t="inlineStr">
        <is>
          <t>Alexander Peter (EchoMind Project Lead)</t>
        </is>
      </c>
      <c r="I24" s="5" t="inlineStr">
        <is>
          <t>No way to reach a deployed unit on a site without a network</t>
        </is>
      </c>
      <c r="J24" s="5" t="inlineStr">
        <is>
          <t>Build the boot-time hotspot</t>
        </is>
      </c>
      <c r="K24" s="5" t="inlineStr">
        <is>
          <t>Deployment unit; 0818cdc</t>
        </is>
      </c>
      <c r="L24" s="5">
        <f>SUMIF('Action log'!$B:$B,A24,'Action log'!$K:$K)</f>
        <v/>
      </c>
      <c r="M24" s="5">
        <f>SUMIFS('Action log'!$K:$K,'Action log'!$B:$B,A24,'Action log'!$F:$F,"Closed*")</f>
        <v/>
      </c>
      <c r="N24" s="5">
        <f>L24-M24</f>
        <v/>
      </c>
      <c r="O24" s="5" t="inlineStr">
        <is>
          <t>v1.1.0</t>
        </is>
      </c>
    </row>
    <row r="25">
      <c r="A25" s="5" t="inlineStr">
        <is>
          <t>CR-2026-06</t>
        </is>
      </c>
      <c r="B25" s="5" t="inlineStr">
        <is>
          <t>2026-04</t>
        </is>
      </c>
      <c r="C25" s="5" t="inlineStr">
        <is>
          <t>P-2026-2</t>
        </is>
      </c>
      <c r="D25" s="5" t="inlineStr">
        <is>
          <t>v1.1.0 in development</t>
        </is>
      </c>
      <c r="E25" s="5" t="inlineStr">
        <is>
          <t>Live transcription</t>
        </is>
      </c>
      <c r="F25" s="5" t="inlineStr">
        <is>
          <t>Client feedback review</t>
        </is>
      </c>
      <c r="G25" s="5" t="inlineStr">
        <is>
          <t>Client</t>
        </is>
      </c>
      <c r="H25" s="5" t="inlineStr">
        <is>
          <t>Client A</t>
        </is>
      </c>
      <c r="I25" s="5" t="inlineStr">
        <is>
          <t>Accuracy and speed below need (e.g. 'DoD FMR' heard as 'DODFMA')</t>
        </is>
      </c>
      <c r="J25" s="5" t="inlineStr">
        <is>
          <t>Better speech model with fallback; move chat to TensorRT-LLM</t>
        </is>
      </c>
      <c r="K25" s="5" t="inlineStr">
        <is>
          <t>d89aeda, b6a70d8, 80375c6</t>
        </is>
      </c>
      <c r="L25" s="5">
        <f>SUMIF('Action log'!$B:$B,A25,'Action log'!$K:$K)</f>
        <v/>
      </c>
      <c r="M25" s="5">
        <f>SUMIFS('Action log'!$K:$K,'Action log'!$B:$B,A25,'Action log'!$F:$F,"Closed*")</f>
        <v/>
      </c>
      <c r="N25" s="5">
        <f>L25-M25</f>
        <v/>
      </c>
      <c r="O25" s="5" t="inlineStr">
        <is>
          <t>v1.1.0</t>
        </is>
      </c>
    </row>
    <row r="26">
      <c r="A26" s="5" t="inlineStr">
        <is>
          <t>CR-2026-07</t>
        </is>
      </c>
      <c r="B26" s="5" t="inlineStr">
        <is>
          <t>2026-05</t>
        </is>
      </c>
      <c r="C26" s="5" t="inlineStr">
        <is>
          <t>P-2026-3</t>
        </is>
      </c>
      <c r="D26" s="5" t="inlineStr">
        <is>
          <t>v1.1.0 (demonstrated)</t>
        </is>
      </c>
      <c r="E26" s="5" t="inlineStr">
        <is>
          <t>Conversation and live transcript demonstration</t>
        </is>
      </c>
      <c r="F26" s="5" t="inlineStr">
        <is>
          <t>Client review</t>
        </is>
      </c>
      <c r="G26" s="5" t="inlineStr">
        <is>
          <t>Client</t>
        </is>
      </c>
      <c r="H26" s="5" t="inlineStr">
        <is>
          <t>Client C (law firm)</t>
        </is>
      </c>
      <c r="I26" s="5" t="inlineStr">
        <is>
          <t>Needs a listen-only assistant that pulls supporting data onto the screen while people speak</t>
        </is>
      </c>
      <c r="J26" s="5" t="inlineStr">
        <is>
          <t>Build the Silent Assistant</t>
        </is>
      </c>
      <c r="K26" s="5" t="inlineStr">
        <is>
          <t>ec9b180, f75121b, 7f2658a</t>
        </is>
      </c>
      <c r="L26" s="5">
        <f>SUMIF('Action log'!$B:$B,A26,'Action log'!$K:$K)</f>
        <v/>
      </c>
      <c r="M26" s="5">
        <f>SUMIFS('Action log'!$K:$K,'Action log'!$B:$B,A26,'Action log'!$F:$F,"Closed*")</f>
        <v/>
      </c>
      <c r="N26" s="5">
        <f>L26-M26</f>
        <v/>
      </c>
      <c r="O26" s="5" t="inlineStr">
        <is>
          <t>v1.1.0</t>
        </is>
      </c>
    </row>
    <row r="27">
      <c r="A27" s="5" t="inlineStr">
        <is>
          <t>CR-2026-08</t>
        </is>
      </c>
      <c r="B27" s="5" t="inlineStr">
        <is>
          <t>2026-05</t>
        </is>
      </c>
      <c r="C27" s="5" t="inlineStr">
        <is>
          <t>P-2026-3</t>
        </is>
      </c>
      <c r="D27" s="5" t="inlineStr">
        <is>
          <t>v1.2.0 in development</t>
        </is>
      </c>
      <c r="E27" s="5" t="inlineStr">
        <is>
          <t>Group discussions (Boardroom)</t>
        </is>
      </c>
      <c r="F27" s="5" t="inlineStr">
        <is>
          <t>Design review and model trials</t>
        </is>
      </c>
      <c r="G27" s="5" t="inlineStr">
        <is>
          <t>Internal</t>
        </is>
      </c>
      <c r="H27" s="5" t="inlineStr">
        <is>
          <t>EchoMind team</t>
        </is>
      </c>
      <c r="I27" s="5" t="inlineStr">
        <is>
          <t>Speaker separation (diarisation) needed; model chosen by trial</t>
        </is>
      </c>
      <c r="J27" s="5" t="inlineStr">
        <is>
          <t>Build Boardroom with diarisation</t>
        </is>
      </c>
      <c r="K27" s="5" t="inlineStr">
        <is>
          <t>f540976, cf463aa, e1a337b</t>
        </is>
      </c>
      <c r="L27" s="5">
        <f>SUMIF('Action log'!$B:$B,A27,'Action log'!$K:$K)</f>
        <v/>
      </c>
      <c r="M27" s="5">
        <f>SUMIFS('Action log'!$K:$K,'Action log'!$B:$B,A27,'Action log'!$F:$F,"Closed*")</f>
        <v/>
      </c>
      <c r="N27" s="5">
        <f>L27-M27</f>
        <v/>
      </c>
      <c r="O27" s="5" t="inlineStr">
        <is>
          <t>v1.2.0</t>
        </is>
      </c>
    </row>
    <row r="28">
      <c r="A28" s="5" t="inlineStr">
        <is>
          <t>CR-2026-09</t>
        </is>
      </c>
      <c r="B28" s="5" t="inlineStr">
        <is>
          <t>2026-06</t>
        </is>
      </c>
      <c r="C28" s="5" t="inlineStr">
        <is>
          <t>P-2026-3</t>
        </is>
      </c>
      <c r="D28" s="5" t="inlineStr">
        <is>
          <t>v1.2.0 in development</t>
        </is>
      </c>
      <c r="E28" s="5" t="inlineStr">
        <is>
          <t>Document creation</t>
        </is>
      </c>
      <c r="F28" s="5" t="inlineStr">
        <is>
          <t>Client requirement review</t>
        </is>
      </c>
      <c r="G28" s="5" t="inlineStr">
        <is>
          <t>Client</t>
        </is>
      </c>
      <c r="H28" s="5" t="inlineStr">
        <is>
          <t>Client D (Gulf region)</t>
        </is>
      </c>
      <c r="I28" s="5" t="inlineStr">
        <is>
          <t>PPT and PDF made locally, with and without a template, with images</t>
        </is>
      </c>
      <c r="J28" s="5" t="inlineStr">
        <is>
          <t>Build Document Studio</t>
        </is>
      </c>
      <c r="K28" s="5" t="inlineStr">
        <is>
          <t>2d23f40, 66356f9</t>
        </is>
      </c>
      <c r="L28" s="5">
        <f>SUMIF('Action log'!$B:$B,A28,'Action log'!$K:$K)</f>
        <v/>
      </c>
      <c r="M28" s="5">
        <f>SUMIFS('Action log'!$K:$K,'Action log'!$B:$B,A28,'Action log'!$F:$F,"Closed*")</f>
        <v/>
      </c>
      <c r="N28" s="5">
        <f>L28-M28</f>
        <v/>
      </c>
      <c r="O28" s="5" t="inlineStr">
        <is>
          <t>v1.2.0</t>
        </is>
      </c>
    </row>
    <row r="29">
      <c r="A29" s="5" t="inlineStr">
        <is>
          <t>SR-2026-01</t>
        </is>
      </c>
      <c r="B29" s="5" t="inlineStr">
        <is>
          <t>2026-06-18</t>
        </is>
      </c>
      <c r="C29" s="5" t="inlineStr">
        <is>
          <t>P-2026-3</t>
        </is>
      </c>
      <c r="D29" s="5" t="inlineStr">
        <is>
          <t>v1.2.0 in development</t>
        </is>
      </c>
      <c r="E29" s="5" t="inlineStr">
        <is>
          <t>Security and defect review across RAG, transcription, Boardroom and voice</t>
        </is>
      </c>
      <c r="F29" s="5" t="inlineStr">
        <is>
          <t>Code audit</t>
        </is>
      </c>
      <c r="G29" s="5" t="inlineStr">
        <is>
          <t>Internal</t>
        </is>
      </c>
      <c r="H29" s="5" t="inlineStr">
        <is>
          <t>Richard Watson Stephen Amudha</t>
        </is>
      </c>
      <c r="I29" s="5" t="inlineStr">
        <is>
          <t>Path-traversal write in Boardroom uploads; markup injection in PDF export; prompt-injection exposure in chat, Boardroom and voice; full prompts logged at INFO; transcript session collisions</t>
        </is>
      </c>
      <c r="J29" s="5" t="inlineStr">
        <is>
          <t>All fixed in the same change</t>
        </is>
      </c>
      <c r="K29" s="5" t="inlineStr">
        <is>
          <t>b08cf25</t>
        </is>
      </c>
      <c r="L29" s="5">
        <f>SUMIF('Action log'!$B:$B,A29,'Action log'!$K:$K)</f>
        <v/>
      </c>
      <c r="M29" s="5">
        <f>SUMIFS('Action log'!$K:$K,'Action log'!$B:$B,A29,'Action log'!$F:$F,"Closed*")</f>
        <v/>
      </c>
      <c r="N29" s="5">
        <f>L29-M29</f>
        <v/>
      </c>
      <c r="O29" s="5" t="inlineStr">
        <is>
          <t>v1.2.0</t>
        </is>
      </c>
    </row>
    <row r="30">
      <c r="A30" s="5" t="inlineStr">
        <is>
          <t>RV-2026-01</t>
        </is>
      </c>
      <c r="B30" s="5" t="inlineStr">
        <is>
          <t>2026-07-29</t>
        </is>
      </c>
      <c r="C30" s="5" t="inlineStr">
        <is>
          <t>P-2026-4</t>
        </is>
      </c>
      <c r="D30" s="5" t="inlineStr">
        <is>
          <t>v1.3.0 in development</t>
        </is>
      </c>
      <c r="E30" s="5" t="inlineStr">
        <is>
          <t>Retrieval pipeline</t>
        </is>
      </c>
      <c r="F30" s="5" t="inlineStr">
        <is>
          <t>Golden-question evaluation (52 questions) against the live stack</t>
        </is>
      </c>
      <c r="G30" s="5" t="inlineStr">
        <is>
          <t>Internal</t>
        </is>
      </c>
      <c r="H30" s="5" t="inlineStr">
        <is>
          <t>Richard Watson Stephen Amudha</t>
        </is>
      </c>
      <c r="I30" s="5" t="inlineStr">
        <is>
          <t>5 defects + 1 isolation regression</t>
        </is>
      </c>
      <c r="J30" s="5" t="inlineStr">
        <is>
          <t>Fix the defects; keep the suite as a release gate</t>
        </is>
      </c>
      <c r="K30" s="5" t="inlineStr">
        <is>
          <t>ebd232f, 4e27109 — REG-10 RF-2026-003</t>
        </is>
      </c>
      <c r="L30" s="5">
        <f>SUMIF('Action log'!$B:$B,A30,'Action log'!$K:$K)</f>
        <v/>
      </c>
      <c r="M30" s="5">
        <f>SUMIFS('Action log'!$K:$K,'Action log'!$B:$B,A30,'Action log'!$F:$F,"Closed*")</f>
        <v/>
      </c>
      <c r="N30" s="5">
        <f>L30-M30</f>
        <v/>
      </c>
      <c r="O30" s="5" t="inlineStr">
        <is>
          <t>v1.3.0</t>
        </is>
      </c>
    </row>
    <row r="31">
      <c r="A31" s="5" t="inlineStr">
        <is>
          <t>RV-2026-02</t>
        </is>
      </c>
      <c r="B31" s="5" t="inlineStr">
        <is>
          <t>2026-08-07</t>
        </is>
      </c>
      <c r="C31" s="5" t="inlineStr">
        <is>
          <t>P-2026-4</t>
        </is>
      </c>
      <c r="D31" s="5" t="inlineStr">
        <is>
          <t>v1.3.0 in development</t>
        </is>
      </c>
      <c r="E31" s="5" t="inlineStr">
        <is>
          <t>Research paper experiment campaign (E1–E10)</t>
        </is>
      </c>
      <c r="F31" s="5" t="inlineStr">
        <is>
          <t>Measurements checked against the paper's own claims</t>
        </is>
      </c>
      <c r="G31" s="5" t="inlineStr">
        <is>
          <t>Internal</t>
        </is>
      </c>
      <c r="H31" s="5" t="inlineStr">
        <is>
          <t>Richard Watson Stephen Amudha</t>
        </is>
      </c>
      <c r="I31" s="5" t="inlineStr">
        <is>
          <t>4 substantive (2 contradict published claims)</t>
        </is>
      </c>
      <c r="J31" s="5" t="inlineStr">
        <is>
          <t>Record contradicting results verbatim; correct claims</t>
        </is>
      </c>
      <c r="K31" s="5" t="inlineStr">
        <is>
          <t>eval/paper/results/SUMMARY.json — RF-2026-002</t>
        </is>
      </c>
      <c r="L31" s="5">
        <f>SUMIF('Action log'!$B:$B,A31,'Action log'!$K:$K)</f>
        <v/>
      </c>
      <c r="M31" s="5">
        <f>SUMIFS('Action log'!$K:$K,'Action log'!$B:$B,A31,'Action log'!$F:$F,"Closed*")</f>
        <v/>
      </c>
      <c r="N31" s="5">
        <f>L31-M31</f>
        <v/>
      </c>
      <c r="O31" s="5" t="inlineStr">
        <is>
          <t>v1.3.0</t>
        </is>
      </c>
    </row>
    <row r="32">
      <c r="A32" s="5" t="inlineStr">
        <is>
          <t>RV-2026-03</t>
        </is>
      </c>
      <c r="B32" s="5" t="inlineStr">
        <is>
          <t>2026-09-21</t>
        </is>
      </c>
      <c r="C32" s="5" t="inlineStr">
        <is>
          <t>P-2026-5</t>
        </is>
      </c>
      <c r="D32" s="5" t="inlineStr">
        <is>
          <t>v1.4.0 candidate</t>
        </is>
      </c>
      <c r="E32" s="5" t="inlineStr">
        <is>
          <t>Voice change set (speculative reply, tool routing, GPU STT)</t>
        </is>
      </c>
      <c r="F32" s="5" t="inlineStr">
        <is>
          <t>Structured adversarial review, five lenses, each finding independently verified</t>
        </is>
      </c>
      <c r="G32" s="5" t="inlineStr">
        <is>
          <t>Internal</t>
        </is>
      </c>
      <c r="H32" s="5" t="inlineStr">
        <is>
          <t>Richard Watson Stephen Amudha (AI-assisted, independent verification)</t>
        </is>
      </c>
      <c r="I32" s="5" t="inlineStr">
        <is>
          <t>40 raised; 22 confirmed; 18 refuted</t>
        </is>
      </c>
      <c r="J32" s="5" t="inlineStr">
        <is>
          <t>Fix the 22 confirmed findings before release; record 18 refuted</t>
        </is>
      </c>
      <c r="K32" s="5" t="inlineStr">
        <is>
          <t>ff29843 — RF-2026-001</t>
        </is>
      </c>
      <c r="L32" s="5">
        <f>SUMIF('Action log'!$B:$B,A32,'Action log'!$K:$K)</f>
        <v/>
      </c>
      <c r="M32" s="5">
        <f>SUMIFS('Action log'!$K:$K,'Action log'!$B:$B,A32,'Action log'!$F:$F,"Closed*")</f>
        <v/>
      </c>
      <c r="N32" s="5">
        <f>L32-M32</f>
        <v/>
      </c>
      <c r="O32" s="5" t="inlineStr">
        <is>
          <t>v1.4.0</t>
        </is>
      </c>
    </row>
    <row r="33">
      <c r="A33" s="5" t="inlineStr">
        <is>
          <t>RV-2026-04</t>
        </is>
      </c>
      <c r="B33" s="5" t="inlineStr">
        <is>
          <t>2026-09-22</t>
        </is>
      </c>
      <c r="C33" s="5" t="inlineStr">
        <is>
          <t>P-2026-5</t>
        </is>
      </c>
      <c r="D33" s="5" t="inlineStr">
        <is>
          <t>v1.4.0</t>
        </is>
      </c>
      <c r="E33" s="5" t="inlineStr">
        <is>
          <t>Golden evaluation re-run for audit evidence</t>
        </is>
      </c>
      <c r="F33" s="5" t="inlineStr">
        <is>
          <t>Measurement review</t>
        </is>
      </c>
      <c r="G33" s="5" t="inlineStr">
        <is>
          <t>Internal</t>
        </is>
      </c>
      <c r="H33" s="5" t="inlineStr">
        <is>
          <t>Richard Watson Stephen Amudha</t>
        </is>
      </c>
      <c r="I33" s="5" t="inlineStr">
        <is>
          <t>Corpus absent (9/52)</t>
        </is>
      </c>
      <c r="J33" s="5" t="inlineStr">
        <is>
          <t>Pre-flight check; restore the corpus</t>
        </is>
      </c>
      <c r="K33" s="5" t="inlineStr">
        <is>
          <t>NC-2026-008; eval_20260922-135322.json</t>
        </is>
      </c>
      <c r="L33" s="5">
        <f>SUMIF('Action log'!$B:$B,A33,'Action log'!$K:$K)</f>
        <v/>
      </c>
      <c r="M33" s="5">
        <f>SUMIFS('Action log'!$K:$K,'Action log'!$B:$B,A33,'Action log'!$F:$F,"Closed*")</f>
        <v/>
      </c>
      <c r="N33" s="5">
        <f>L33-M33</f>
        <v/>
      </c>
      <c r="O33" s="5" t="inlineStr">
        <is>
          <t>v1.4.0</t>
        </is>
      </c>
    </row>
    <row r="34">
      <c r="A34" s="5" t="inlineStr">
        <is>
          <t>RV-2026-05</t>
        </is>
      </c>
      <c r="B34" s="5" t="inlineStr">
        <is>
          <t>2026-09-28</t>
        </is>
      </c>
      <c r="C34" s="5" t="inlineStr">
        <is>
          <t>P-2026-5</t>
        </is>
      </c>
      <c r="D34" s="5" t="inlineStr">
        <is>
          <t>v1.4.0</t>
        </is>
      </c>
      <c r="E34" s="5" t="inlineStr">
        <is>
          <t>Repository health check</t>
        </is>
      </c>
      <c r="F34" s="5" t="inlineStr">
        <is>
          <t>Unit suites + type-check against HEAD</t>
        </is>
      </c>
      <c r="G34" s="5" t="inlineStr">
        <is>
          <t>Internal</t>
        </is>
      </c>
      <c r="H34" s="5" t="inlineStr">
        <is>
          <t>Richard Watson Stephen Amudha</t>
        </is>
      </c>
      <c r="I34" s="5" t="inlineStr">
        <is>
          <t>5 failing tests, 20 type errors</t>
        </is>
      </c>
      <c r="J34" s="5" t="inlineStr">
        <is>
          <t>Fix tests; add CI</t>
        </is>
      </c>
      <c r="K34" s="5" t="inlineStr">
        <is>
          <t>5ddf8a6, 736ea61 — NC-2026-010</t>
        </is>
      </c>
      <c r="L34" s="5">
        <f>SUMIF('Action log'!$B:$B,A34,'Action log'!$K:$K)</f>
        <v/>
      </c>
      <c r="M34" s="5">
        <f>SUMIFS('Action log'!$K:$K,'Action log'!$B:$B,A34,'Action log'!$F:$F,"Closed*")</f>
        <v/>
      </c>
      <c r="N34" s="5">
        <f>L34-M34</f>
        <v/>
      </c>
      <c r="O34" s="5" t="inlineStr">
        <is>
          <t>v1.4.0</t>
        </is>
      </c>
    </row>
    <row r="35">
      <c r="A35" s="5" t="inlineStr">
        <is>
          <t>RV-2026-06</t>
        </is>
      </c>
      <c r="B35" s="5" t="inlineStr">
        <is>
          <t>2026-10-06</t>
        </is>
      </c>
      <c r="C35" s="5" t="inlineStr">
        <is>
          <t>P-2026-5</t>
        </is>
      </c>
      <c r="D35" s="5" t="inlineStr">
        <is>
          <t>v1.4.0 (deployed)</t>
        </is>
      </c>
      <c r="E35" s="5" t="inlineStr">
        <is>
          <t>October audit pack</t>
        </is>
      </c>
      <c r="F35" s="5" t="inlineStr">
        <is>
          <t>Every claim re-verified against the running system</t>
        </is>
      </c>
      <c r="G35" s="5" t="inlineStr">
        <is>
          <t>Internal</t>
        </is>
      </c>
      <c r="H35" s="5" t="inlineStr">
        <is>
          <t>Richard Watson Stephen Amudha</t>
        </is>
      </c>
      <c r="I35" s="5" t="inlineStr">
        <is>
          <t>6 statements wrong (incl. no login on the public site)</t>
        </is>
      </c>
      <c r="J35" s="5" t="inlineStr">
        <is>
          <t>Correct the pack; restore login</t>
        </is>
      </c>
      <c r="K35" s="5" t="inlineStr">
        <is>
          <t>855bd80, 1d7f154 — NC-2026-009</t>
        </is>
      </c>
      <c r="L35" s="5">
        <f>SUMIF('Action log'!$B:$B,A35,'Action log'!$K:$K)</f>
        <v/>
      </c>
      <c r="M35" s="5">
        <f>SUMIFS('Action log'!$K:$K,'Action log'!$B:$B,A35,'Action log'!$F:$F,"Closed*")</f>
        <v/>
      </c>
      <c r="N35" s="5">
        <f>L35-M35</f>
        <v/>
      </c>
      <c r="O35" s="5" t="inlineStr">
        <is>
          <t>v1.4.0</t>
        </is>
      </c>
    </row>
    <row r="36">
      <c r="A36" s="5" t="inlineStr">
        <is>
          <t>RV-2026-07</t>
        </is>
      </c>
      <c r="B36" s="5" t="inlineStr">
        <is>
          <t>2026-10-06</t>
        </is>
      </c>
      <c r="C36" s="5" t="inlineStr">
        <is>
          <t>P-2026-5</t>
        </is>
      </c>
      <c r="D36" s="5" t="inlineStr">
        <is>
          <t>v1.4.1 candidate</t>
        </is>
      </c>
      <c r="E36" s="5" t="inlineStr">
        <is>
          <t>Release candidate (13 acceptance test cases)</t>
        </is>
      </c>
      <c r="F36" s="5" t="inlineStr">
        <is>
          <t>Executed acceptance tests, 4 runs</t>
        </is>
      </c>
      <c r="G36" s="5" t="inlineStr">
        <is>
          <t>Internal</t>
        </is>
      </c>
      <c r="H36" s="5" t="inlineStr">
        <is>
          <t>Richard Watson Stephen Amudha</t>
        </is>
      </c>
      <c r="I36" s="5" t="inlineStr">
        <is>
          <t>4 defects; re-tests found 2 more</t>
        </is>
      </c>
      <c r="J36" s="5" t="inlineStr">
        <is>
          <t>Fix, re-test (4 runs), release v1.4.1</t>
        </is>
      </c>
      <c r="K36" s="5" t="inlineStr">
        <is>
          <t>e0ed4d0, 3feb5db, f1b8445 — NC-2026-012…016</t>
        </is>
      </c>
      <c r="L36" s="5">
        <f>SUMIF('Action log'!$B:$B,A36,'Action log'!$K:$K)</f>
        <v/>
      </c>
      <c r="M36" s="5">
        <f>SUMIFS('Action log'!$K:$K,'Action log'!$B:$B,A36,'Action log'!$F:$F,"Closed*")</f>
        <v/>
      </c>
      <c r="N36" s="5">
        <f>L36-M36</f>
        <v/>
      </c>
      <c r="O36" s="5" t="inlineStr">
        <is>
          <t>v1.4.1</t>
        </is>
      </c>
    </row>
    <row r="37">
      <c r="A37" s="5" t="inlineStr">
        <is>
          <t>RV-2026-08</t>
        </is>
      </c>
      <c r="B37" s="5" t="inlineStr">
        <is>
          <t>2026-10-07</t>
        </is>
      </c>
      <c r="C37" s="5" t="inlineStr">
        <is>
          <t>P-2026-5</t>
        </is>
      </c>
      <c r="D37" s="5" t="inlineStr">
        <is>
          <t>v1.4.1 (public instance)</t>
        </is>
      </c>
      <c r="E37" s="5" t="inlineStr">
        <is>
          <t>Public instance access logs</t>
        </is>
      </c>
      <c r="F37" s="5" t="inlineStr">
        <is>
          <t>Log review for the ungated period</t>
        </is>
      </c>
      <c r="G37" s="5" t="inlineStr">
        <is>
          <t>Internal</t>
        </is>
      </c>
      <c r="H37" s="5" t="inlineStr">
        <is>
          <t>Richard Watson Stephen Amudha</t>
        </is>
      </c>
      <c r="I37" s="5" t="inlineStr">
        <is>
          <t>Ungated 68 days; 64 scanner probes; no data change outside engineering work</t>
        </is>
      </c>
      <c r="J37" s="5" t="inlineStr">
        <is>
          <t>External login check; record runtime changes</t>
        </is>
      </c>
      <c r="K37" s="5" t="inlineStr">
        <is>
          <t>records/capa/2026-10-07_NC-2026-009_access_log_review.md</t>
        </is>
      </c>
      <c r="L37" s="5">
        <f>SUMIF('Action log'!$B:$B,A37,'Action log'!$K:$K)</f>
        <v/>
      </c>
      <c r="M37" s="5">
        <f>SUMIFS('Action log'!$K:$K,'Action log'!$B:$B,A37,'Action log'!$F:$F,"Closed*")</f>
        <v/>
      </c>
      <c r="N37" s="5">
        <f>L37-M37</f>
        <v/>
      </c>
      <c r="O37" s="5" t="inlineStr">
        <is>
          <t>v1.4.1</t>
        </is>
      </c>
    </row>
  </sheetData>
  <autoFilter ref="A4:O37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60" customWidth="1" min="4" max="4"/>
    <col width="24" customWidth="1" min="5" max="5"/>
    <col width="14" customWidth="1" min="6" max="6"/>
    <col width="12" customWidth="1" min="7" max="7"/>
    <col width="12" customWidth="1" min="8" max="8"/>
    <col width="44" customWidth="1" min="9" max="9"/>
    <col width="10" customWidth="1" min="10" max="10"/>
    <col width="11" customWidth="1" min="11" max="11"/>
    <col width="14" customWidth="1" min="12" max="12"/>
  </cols>
  <sheetData>
    <row r="1">
      <c r="A1" s="6" t="inlineStr">
        <is>
          <t>Action log — 2025 → 2026</t>
        </is>
      </c>
    </row>
    <row r="2">
      <c r="A2" s="7" t="inlineStr">
        <is>
          <t>‘Not evidenced’ = recorded as open in a 2025 minute with no later closure record. ‘Represents’ counts AC-04 as the 22 confirmed voice findings it stands for.</t>
        </is>
      </c>
    </row>
    <row r="4">
      <c r="A4" s="8" t="inlineStr">
        <is>
          <t>Action ID</t>
        </is>
      </c>
      <c r="B4" s="8" t="inlineStr">
        <is>
          <t>From review</t>
        </is>
      </c>
      <c r="C4" s="8" t="inlineStr">
        <is>
          <t>Period</t>
        </is>
      </c>
      <c r="D4" s="8" t="inlineStr">
        <is>
          <t>Action</t>
        </is>
      </c>
      <c r="E4" s="8" t="inlineStr">
        <is>
          <t>Owner</t>
        </is>
      </c>
      <c r="F4" s="8" t="inlineStr">
        <is>
          <t>Status</t>
        </is>
      </c>
      <c r="G4" s="8" t="inlineStr">
        <is>
          <t>Due</t>
        </is>
      </c>
      <c r="H4" s="8" t="inlineStr">
        <is>
          <t>Closed on</t>
        </is>
      </c>
      <c r="I4" s="8" t="inlineStr">
        <is>
          <t>Closure evidence</t>
        </is>
      </c>
      <c r="J4" s="8" t="inlineStr">
        <is>
          <t>Ticket / link</t>
        </is>
      </c>
      <c r="K4" s="8" t="inlineStr">
        <is>
          <t>Represents</t>
        </is>
      </c>
      <c r="L4" s="8" t="inlineStr">
        <is>
          <t>Version</t>
        </is>
      </c>
    </row>
    <row r="5">
      <c r="A5" s="5" t="inlineStr">
        <is>
          <t>DA-2025-01</t>
        </is>
      </c>
      <c r="B5" s="5" t="inlineStr">
        <is>
          <t>DR-2025-02</t>
        </is>
      </c>
      <c r="C5" s="5" t="inlineStr">
        <is>
          <t>P-2025-1</t>
        </is>
      </c>
      <c r="D5" s="5" t="inlineStr">
        <is>
          <t>Update architecture diagrams with GPU allocation</t>
        </is>
      </c>
      <c r="E5" s="5" t="inlineStr">
        <is>
          <t>Lead Architect</t>
        </is>
      </c>
      <c r="F5" s="10" t="inlineStr">
        <is>
          <t>Not evidenced</t>
        </is>
      </c>
      <c r="G5" s="5" t="inlineStr">
        <is>
          <t>2025-05-25</t>
        </is>
      </c>
      <c r="H5" s="5" t="inlineStr"/>
      <c r="I5" s="5" t="inlineStr">
        <is>
          <t>Recorded open in MM-ECHO-2025-05; no later closure record (superseded by the 2026 platform)</t>
        </is>
      </c>
      <c r="J5" s="5" t="inlineStr"/>
      <c r="K5" s="5" t="n">
        <v>1</v>
      </c>
      <c r="L5" s="5" t="inlineStr">
        <is>
          <t>2025 appliance</t>
        </is>
      </c>
    </row>
    <row r="6">
      <c r="A6" s="5" t="inlineStr">
        <is>
          <t>DA-2025-02</t>
        </is>
      </c>
      <c r="B6" s="5" t="inlineStr">
        <is>
          <t>DR-2025-02</t>
        </is>
      </c>
      <c r="C6" s="5" t="inlineStr">
        <is>
          <t>P-2025-1</t>
        </is>
      </c>
      <c r="D6" s="5" t="inlineStr">
        <is>
          <t>Prepare prototype test plan</t>
        </is>
      </c>
      <c r="E6" s="5" t="inlineStr">
        <is>
          <t>QA Lead</t>
        </is>
      </c>
      <c r="F6" s="9" t="inlineStr">
        <is>
          <t>Closed</t>
        </is>
      </c>
      <c r="G6" s="5" t="inlineStr">
        <is>
          <t>2025-06-05</t>
        </is>
      </c>
      <c r="H6" s="5" t="inlineStr">
        <is>
          <t>2025-07-12</t>
        </is>
      </c>
      <c r="I6" s="5" t="inlineStr">
        <is>
          <t>QA sprint plan approved in MM-ECHO-2025-07</t>
        </is>
      </c>
      <c r="J6" s="5" t="inlineStr">
        <is>
          <t>DR-2025-06</t>
        </is>
      </c>
      <c r="K6" s="5" t="n">
        <v>1</v>
      </c>
      <c r="L6" s="5" t="inlineStr">
        <is>
          <t>2025 appliance</t>
        </is>
      </c>
    </row>
    <row r="7">
      <c r="A7" s="5" t="inlineStr">
        <is>
          <t>DA-2025-03</t>
        </is>
      </c>
      <c r="B7" s="5" t="inlineStr">
        <is>
          <t>DR-2025-06</t>
        </is>
      </c>
      <c r="C7" s="5" t="inlineStr">
        <is>
          <t>P-2025-2</t>
        </is>
      </c>
      <c r="D7" s="5" t="inlineStr">
        <is>
          <t>Finalise QA sprint board</t>
        </is>
      </c>
      <c r="E7" s="5" t="inlineStr">
        <is>
          <t>QA Manager</t>
        </is>
      </c>
      <c r="F7" s="9" t="inlineStr">
        <is>
          <t>Closed</t>
        </is>
      </c>
      <c r="G7" s="5" t="inlineStr">
        <is>
          <t>2025-07-14</t>
        </is>
      </c>
      <c r="H7" s="5" t="inlineStr">
        <is>
          <t>2025-07-14</t>
        </is>
      </c>
      <c r="I7" s="5" t="inlineStr">
        <is>
          <t>Recorded closed in MM-ECHO-2025-07</t>
        </is>
      </c>
      <c r="J7" s="5" t="inlineStr"/>
      <c r="K7" s="5" t="n">
        <v>1</v>
      </c>
      <c r="L7" s="5" t="inlineStr">
        <is>
          <t>2025 appliance</t>
        </is>
      </c>
    </row>
    <row r="8">
      <c r="A8" s="5" t="inlineStr">
        <is>
          <t>DA-2025-04</t>
        </is>
      </c>
      <c r="B8" s="5" t="inlineStr">
        <is>
          <t>DR-2025-06</t>
        </is>
      </c>
      <c r="C8" s="5" t="inlineStr">
        <is>
          <t>P-2025-2</t>
        </is>
      </c>
      <c r="D8" s="5" t="inlineStr">
        <is>
          <t>Confirm test environment set-up</t>
        </is>
      </c>
      <c r="E8" s="5" t="inlineStr">
        <is>
          <t>Dev Lead</t>
        </is>
      </c>
      <c r="F8" s="10" t="inlineStr">
        <is>
          <t>Not evidenced</t>
        </is>
      </c>
      <c r="G8" s="5" t="inlineStr">
        <is>
          <t>2025-07-16</t>
        </is>
      </c>
      <c r="H8" s="5" t="inlineStr"/>
      <c r="I8" s="5" t="inlineStr">
        <is>
          <t>Recorded open in MM-ECHO-2025-07; regression run on 2025-09-05 used the test environment</t>
        </is>
      </c>
      <c r="J8" s="5" t="inlineStr"/>
      <c r="K8" s="5" t="n">
        <v>1</v>
      </c>
      <c r="L8" s="5" t="inlineStr">
        <is>
          <t>2025 appliance</t>
        </is>
      </c>
    </row>
    <row r="9">
      <c r="A9" s="5" t="inlineStr">
        <is>
          <t>DA-2025-05</t>
        </is>
      </c>
      <c r="B9" s="5" t="inlineStr">
        <is>
          <t>DR-2025-12</t>
        </is>
      </c>
      <c r="C9" s="5" t="inlineStr">
        <is>
          <t>P-2025-3</t>
        </is>
      </c>
      <c r="D9" s="5" t="inlineStr">
        <is>
          <t>Issue supplier performance scorecard</t>
        </is>
      </c>
      <c r="E9" s="5" t="inlineStr">
        <is>
          <t>Procurement Lead</t>
        </is>
      </c>
      <c r="F9" s="9" t="inlineStr">
        <is>
          <t>Closed</t>
        </is>
      </c>
      <c r="G9" s="5" t="inlineStr">
        <is>
          <t>2025-09-20</t>
        </is>
      </c>
      <c r="H9" s="5" t="inlineStr">
        <is>
          <t>2025-10-10</t>
        </is>
      </c>
      <c r="I9" s="5" t="inlineStr">
        <is>
          <t>Provider scorecard Q3-2025 reviewed 2025-10-10 (AFR row 14); lessons log #6, CR-2025-03</t>
        </is>
      </c>
      <c r="J9" s="5" t="inlineStr"/>
      <c r="K9" s="5" t="n">
        <v>1</v>
      </c>
      <c r="L9" s="5" t="inlineStr">
        <is>
          <t>2025 appliance</t>
        </is>
      </c>
    </row>
    <row r="10">
      <c r="A10" s="5" t="inlineStr">
        <is>
          <t>DA-2025-06</t>
        </is>
      </c>
      <c r="B10" s="5" t="inlineStr">
        <is>
          <t>DR-2025-12</t>
        </is>
      </c>
      <c r="C10" s="5" t="inlineStr">
        <is>
          <t>P-2025-3</t>
        </is>
      </c>
      <c r="D10" s="5" t="inlineStr">
        <is>
          <t>Document the new QA delivery check process</t>
        </is>
      </c>
      <c r="E10" s="5" t="inlineStr">
        <is>
          <t>Operations Lead</t>
        </is>
      </c>
      <c r="F10" s="9" t="inlineStr">
        <is>
          <t>Closed</t>
        </is>
      </c>
      <c r="G10" s="5" t="inlineStr">
        <is>
          <t>2025-09-25</t>
        </is>
      </c>
      <c r="H10" s="5" t="inlineStr">
        <is>
          <t>2025-10</t>
        </is>
      </c>
      <c r="I10" s="5" t="inlineStr">
        <is>
          <t>Pre-acceptance QA checklist for vendors (lessons log #17, CR-2025-03)</t>
        </is>
      </c>
      <c r="J10" s="5" t="inlineStr"/>
      <c r="K10" s="5" t="n">
        <v>1</v>
      </c>
      <c r="L10" s="5" t="inlineStr">
        <is>
          <t>2025 appliance</t>
        </is>
      </c>
    </row>
    <row r="11">
      <c r="A11" s="5" t="inlineStr">
        <is>
          <t>DA-2025-07</t>
        </is>
      </c>
      <c r="B11" s="5" t="inlineStr">
        <is>
          <t>DR-2025-01</t>
        </is>
      </c>
      <c r="C11" s="5" t="inlineStr">
        <is>
          <t>P-2025-1</t>
        </is>
      </c>
      <c r="D11" s="5" t="inlineStr">
        <is>
          <t>Cross-check hardware specification against project needs before approval</t>
        </is>
      </c>
      <c r="E11" s="5" t="inlineStr">
        <is>
          <t>Alexander Peter</t>
        </is>
      </c>
      <c r="F11" s="9" t="inlineStr">
        <is>
          <t>Closed</t>
        </is>
      </c>
      <c r="G11" s="5" t="inlineStr">
        <is>
          <t>2025-05-15</t>
        </is>
      </c>
      <c r="H11" s="5" t="inlineStr">
        <is>
          <t>2025-05-15</t>
        </is>
      </c>
      <c r="I11" s="5" t="inlineStr">
        <is>
          <t>Deliverables Review DR-1.0, risks and actions</t>
        </is>
      </c>
      <c r="J11" s="5" t="inlineStr"/>
      <c r="K11" s="5" t="n">
        <v>1</v>
      </c>
      <c r="L11" s="5" t="inlineStr">
        <is>
          <t>2025 appliance</t>
        </is>
      </c>
    </row>
    <row r="12">
      <c r="A12" s="5" t="inlineStr">
        <is>
          <t>DA-2025-08</t>
        </is>
      </c>
      <c r="B12" s="5" t="inlineStr">
        <is>
          <t>DR-2025-09</t>
        </is>
      </c>
      <c r="C12" s="5" t="inlineStr">
        <is>
          <t>P-2025-2</t>
        </is>
      </c>
      <c r="D12" s="5" t="inlineStr">
        <is>
          <t>Validation session with stakeholders on SOW requirement mismatches</t>
        </is>
      </c>
      <c r="E12" s="5" t="inlineStr">
        <is>
          <t>AJACE PM team</t>
        </is>
      </c>
      <c r="F12" s="9" t="inlineStr">
        <is>
          <t>Closed</t>
        </is>
      </c>
      <c r="G12" s="5" t="inlineStr">
        <is>
          <t>2025-07</t>
        </is>
      </c>
      <c r="H12" s="5" t="inlineStr">
        <is>
          <t>2025-07</t>
        </is>
      </c>
      <c r="I12" s="5" t="inlineStr">
        <is>
          <t>DR-1.0 risks and actions; SOW signed 2025-08-05</t>
        </is>
      </c>
      <c r="J12" s="5" t="inlineStr"/>
      <c r="K12" s="5" t="n">
        <v>1</v>
      </c>
      <c r="L12" s="5" t="inlineStr">
        <is>
          <t>2025 appliance</t>
        </is>
      </c>
    </row>
    <row r="13">
      <c r="A13" s="5" t="inlineStr">
        <is>
          <t>DA-2025-09</t>
        </is>
      </c>
      <c r="B13" s="5" t="inlineStr">
        <is>
          <t>DR-2025-13</t>
        </is>
      </c>
      <c r="C13" s="5" t="inlineStr">
        <is>
          <t>P-2025-3</t>
        </is>
      </c>
      <c r="D13" s="5" t="inlineStr">
        <is>
          <t>Mandatory QA checklist before release sign-off</t>
        </is>
      </c>
      <c r="E13" s="5" t="inlineStr">
        <is>
          <t>QA</t>
        </is>
      </c>
      <c r="F13" s="9" t="inlineStr">
        <is>
          <t>Closed</t>
        </is>
      </c>
      <c r="G13" s="5" t="inlineStr">
        <is>
          <t>2025-09</t>
        </is>
      </c>
      <c r="H13" s="5" t="inlineStr">
        <is>
          <t>2025-09</t>
        </is>
      </c>
      <c r="I13" s="5" t="inlineStr">
        <is>
          <t>DR-1.0 risks and actions</t>
        </is>
      </c>
      <c r="J13" s="5" t="inlineStr"/>
      <c r="K13" s="5" t="n">
        <v>1</v>
      </c>
      <c r="L13" s="5" t="inlineStr">
        <is>
          <t>2025 appliance</t>
        </is>
      </c>
    </row>
    <row r="14">
      <c r="A14" s="5" t="inlineStr">
        <is>
          <t>DA-2025-10</t>
        </is>
      </c>
      <c r="B14" s="5" t="inlineStr">
        <is>
          <t>DR-2025-10</t>
        </is>
      </c>
      <c r="C14" s="5" t="inlineStr">
        <is>
          <t>P-2025-2</t>
        </is>
      </c>
      <c r="D14" s="5" t="inlineStr">
        <is>
          <t>Weekly milestone checks; backlog grooming; milestones tracked in Jira</t>
        </is>
      </c>
      <c r="E14" s="5" t="inlineStr">
        <is>
          <t>AJACE PM team</t>
        </is>
      </c>
      <c r="F14" s="9" t="inlineStr">
        <is>
          <t>Closed</t>
        </is>
      </c>
      <c r="G14" s="5" t="inlineStr">
        <is>
          <t>2025-09</t>
        </is>
      </c>
      <c r="H14" s="5" t="inlineStr">
        <is>
          <t>2025-10-10</t>
        </is>
      </c>
      <c r="I14" s="5" t="inlineStr">
        <is>
          <t>SCH-1.0 risks and actions; AFR row 12 verified 2025-10-10</t>
        </is>
      </c>
      <c r="J14" s="5" t="inlineStr"/>
      <c r="K14" s="5" t="n">
        <v>1</v>
      </c>
      <c r="L14" s="5" t="inlineStr">
        <is>
          <t>2025 appliance</t>
        </is>
      </c>
    </row>
    <row r="15">
      <c r="A15" s="5" t="inlineStr">
        <is>
          <t>DA-2025-11</t>
        </is>
      </c>
      <c r="B15" s="5" t="inlineStr">
        <is>
          <t>DR-2025-07</t>
        </is>
      </c>
      <c r="C15" s="5" t="inlineStr">
        <is>
          <t>P-2025-2</t>
        </is>
      </c>
      <c r="D15" s="5" t="inlineStr">
        <is>
          <t>Standard acceptance-criteria template; joint requirement reviews; SOW sign-off session</t>
        </is>
      </c>
      <c r="E15" s="5" t="inlineStr">
        <is>
          <t>AJACE Quality / UAT team</t>
        </is>
      </c>
      <c r="F15" s="9" t="inlineStr">
        <is>
          <t>Closed</t>
        </is>
      </c>
      <c r="G15" s="5" t="inlineStr">
        <is>
          <t>2025-09</t>
        </is>
      </c>
      <c r="H15" s="5" t="inlineStr">
        <is>
          <t>2025-10-10</t>
        </is>
      </c>
      <c r="I15" s="5" t="inlineStr">
        <is>
          <t>ACC-1.0 risks and actions; AFR row 13 verified in sprint review 2025-10-10</t>
        </is>
      </c>
      <c r="J15" s="5" t="inlineStr"/>
      <c r="K15" s="5" t="n">
        <v>1</v>
      </c>
      <c r="L15" s="5" t="inlineStr">
        <is>
          <t>2025 appliance</t>
        </is>
      </c>
    </row>
    <row r="16">
      <c r="A16" s="5" t="inlineStr">
        <is>
          <t>DA-2025-12</t>
        </is>
      </c>
      <c r="B16" s="5" t="inlineStr">
        <is>
          <t>DR-2025-14</t>
        </is>
      </c>
      <c r="C16" s="5" t="inlineStr">
        <is>
          <t>P-2025-3</t>
        </is>
      </c>
      <c r="D16" s="5" t="inlineStr">
        <is>
          <t>Deliverables review record with formal logging and reviewer sign-off</t>
        </is>
      </c>
      <c r="E16" s="5" t="inlineStr">
        <is>
          <t>AJACE Quality team</t>
        </is>
      </c>
      <c r="F16" s="9" t="inlineStr">
        <is>
          <t>Closed</t>
        </is>
      </c>
      <c r="G16" s="5" t="inlineStr">
        <is>
          <t>2025-10-08</t>
        </is>
      </c>
      <c r="H16" s="5" t="inlineStr">
        <is>
          <t>2025-10-08</t>
        </is>
      </c>
      <c r="I16" s="5" t="inlineStr">
        <is>
          <t>AFR row 11 — verified by QA 2025-10-08</t>
        </is>
      </c>
      <c r="J16" s="5" t="inlineStr"/>
      <c r="K16" s="5" t="n">
        <v>1</v>
      </c>
      <c r="L16" s="5" t="inlineStr">
        <is>
          <t>2025 appliance</t>
        </is>
      </c>
    </row>
    <row r="17">
      <c r="A17" s="5" t="inlineStr">
        <is>
          <t>DA-2025-13</t>
        </is>
      </c>
      <c r="B17" s="5" t="inlineStr">
        <is>
          <t>DR-2025-14</t>
        </is>
      </c>
      <c r="C17" s="5" t="inlineStr">
        <is>
          <t>P-2025-3</t>
        </is>
      </c>
      <c r="D17" s="5" t="inlineStr">
        <is>
          <t>Test failure → defect → regression documentation (DEF-2025-01, REG-2025-01)</t>
        </is>
      </c>
      <c r="E17" s="5" t="inlineStr">
        <is>
          <t>QA</t>
        </is>
      </c>
      <c r="F17" s="9" t="inlineStr">
        <is>
          <t>Closed</t>
        </is>
      </c>
      <c r="G17" s="5" t="inlineStr">
        <is>
          <t>2025-10-10</t>
        </is>
      </c>
      <c r="H17" s="5" t="inlineStr">
        <is>
          <t>2025-10-10</t>
        </is>
      </c>
      <c r="I17" s="5" t="inlineStr">
        <is>
          <t>AFR row 15 — regression run 2025-09-05 confirmed QA-FAIL-01 resolved</t>
        </is>
      </c>
      <c r="J17" s="5" t="inlineStr"/>
      <c r="K17" s="5" t="n">
        <v>1</v>
      </c>
      <c r="L17" s="5" t="inlineStr">
        <is>
          <t>2025 appliance</t>
        </is>
      </c>
    </row>
    <row r="18">
      <c r="A18" s="5" t="inlineStr">
        <is>
          <t>DA-2025-14</t>
        </is>
      </c>
      <c r="B18" s="5" t="inlineStr">
        <is>
          <t>DR-2025-14</t>
        </is>
      </c>
      <c r="C18" s="5" t="inlineStr">
        <is>
          <t>P-2025-3</t>
        </is>
      </c>
      <c r="D18" s="5" t="inlineStr">
        <is>
          <t>Lessons-learnt logbook adopted</t>
        </is>
      </c>
      <c r="E18" s="5" t="inlineStr">
        <is>
          <t>PMO</t>
        </is>
      </c>
      <c r="F18" s="9" t="inlineStr">
        <is>
          <t>Closed</t>
        </is>
      </c>
      <c r="G18" s="5" t="inlineStr">
        <is>
          <t>2025-10-11</t>
        </is>
      </c>
      <c r="H18" s="5" t="inlineStr">
        <is>
          <t>2025-10-11</t>
        </is>
      </c>
      <c r="I18" s="5" t="inlineStr">
        <is>
          <t>AFR row 16 — reviewed in internal audit 2025-10-11</t>
        </is>
      </c>
      <c r="J18" s="5" t="inlineStr"/>
      <c r="K18" s="5" t="n">
        <v>1</v>
      </c>
      <c r="L18" s="5" t="inlineStr">
        <is>
          <t>2025 appliance</t>
        </is>
      </c>
    </row>
    <row r="19">
      <c r="A19" s="5" t="inlineStr">
        <is>
          <t>DA-2025-15</t>
        </is>
      </c>
      <c r="B19" s="5" t="inlineStr">
        <is>
          <t>DR-2025-15</t>
        </is>
      </c>
      <c r="C19" s="5" t="inlineStr">
        <is>
          <t>P-2025-3</t>
        </is>
      </c>
      <c r="D19" s="5" t="inlineStr">
        <is>
          <t>Record and monitor non-functional requirements (finding #6)</t>
        </is>
      </c>
      <c r="E19" s="5" t="inlineStr">
        <is>
          <t>Richard Watson Stephen Amudha</t>
        </is>
      </c>
      <c r="F19" s="9" t="inlineStr">
        <is>
          <t>Closed</t>
        </is>
      </c>
      <c r="G19" s="5" t="inlineStr">
        <is>
          <t>2026-10-07</t>
        </is>
      </c>
      <c r="H19" s="5" t="inlineStr">
        <is>
          <t>2026-10-07</t>
        </is>
      </c>
      <c r="I19" s="5" t="inlineStr">
        <is>
          <t>REG-09; EM26-17 (targets approved AR-2026-001)</t>
        </is>
      </c>
      <c r="J19" s="5" t="inlineStr">
        <is>
          <t>#49</t>
        </is>
      </c>
      <c r="K19" s="5" t="n">
        <v>1</v>
      </c>
      <c r="L19" s="5" t="inlineStr">
        <is>
          <t>2025 appliance</t>
        </is>
      </c>
    </row>
    <row r="20">
      <c r="A20" s="5" t="inlineStr">
        <is>
          <t>DA-2025-16</t>
        </is>
      </c>
      <c r="B20" s="5" t="inlineStr">
        <is>
          <t>DR-2025-15</t>
        </is>
      </c>
      <c r="C20" s="5" t="inlineStr">
        <is>
          <t>P-2025-3</t>
        </is>
      </c>
      <c r="D20" s="5" t="inlineStr">
        <is>
          <t>Log actions from review feedback of deliverables (finding #7)</t>
        </is>
      </c>
      <c r="E20" s="5" t="inlineStr">
        <is>
          <t>Richard Watson Stephen Amudha</t>
        </is>
      </c>
      <c r="F20" s="9" t="inlineStr">
        <is>
          <t>Closed</t>
        </is>
      </c>
      <c r="G20" s="5" t="inlineStr">
        <is>
          <t>2026-10-07</t>
        </is>
      </c>
      <c r="H20" s="5" t="inlineStr">
        <is>
          <t>2026-10-07</t>
        </is>
      </c>
      <c r="I20" s="5" t="inlineStr">
        <is>
          <t>REG-10; EM26-18</t>
        </is>
      </c>
      <c r="J20" s="5" t="inlineStr"/>
      <c r="K20" s="5" t="n">
        <v>1</v>
      </c>
      <c r="L20" s="5" t="inlineStr">
        <is>
          <t>2025 appliance</t>
        </is>
      </c>
    </row>
    <row r="21">
      <c r="A21" s="5" t="inlineStr">
        <is>
          <t>AC-20</t>
        </is>
      </c>
      <c r="B21" s="5" t="inlineStr">
        <is>
          <t>CR-2026-01</t>
        </is>
      </c>
      <c r="C21" s="5" t="inlineStr">
        <is>
          <t>P-2026-1</t>
        </is>
      </c>
      <c r="D21" s="5" t="inlineStr">
        <is>
          <t>Buy the first DGX Spark and port the 2025 code to it (ARM64)</t>
        </is>
      </c>
      <c r="E21" s="5" t="inlineStr">
        <is>
          <t>EchoMind team</t>
        </is>
      </c>
      <c r="F21" s="9" t="inlineStr">
        <is>
          <t>Closed</t>
        </is>
      </c>
      <c r="G21" s="5" t="inlineStr">
        <is>
          <t>2026-02</t>
        </is>
      </c>
      <c r="H21" s="5" t="inlineStr">
        <is>
          <t>2026-02</t>
        </is>
      </c>
      <c r="I21" s="5" t="inlineStr">
        <is>
          <t>4b90b36, c751d79 (2026-02-05) — 2025 code running on the DGX Spark</t>
        </is>
      </c>
      <c r="J21" s="5" t="inlineStr">
        <is>
          <t>—</t>
        </is>
      </c>
      <c r="K21" s="5" t="n">
        <v>1</v>
      </c>
      <c r="L21" s="5" t="inlineStr">
        <is>
          <t>v1.0.0</t>
        </is>
      </c>
    </row>
    <row r="22">
      <c r="A22" s="5" t="inlineStr">
        <is>
          <t>AC-21</t>
        </is>
      </c>
      <c r="B22" s="5" t="inlineStr">
        <is>
          <t>CR-2026-02</t>
        </is>
      </c>
      <c r="C22" s="5" t="inlineStr">
        <is>
          <t>P-2026-2</t>
        </is>
      </c>
      <c r="D22" s="5" t="inlineStr">
        <is>
          <t>Personal AI assistant: financial-assistant behaviour, conversation memory, personas</t>
        </is>
      </c>
      <c r="E22" s="5" t="inlineStr">
        <is>
          <t>Richard Watson Stephen Amudha</t>
        </is>
      </c>
      <c r="F22" s="9" t="inlineStr">
        <is>
          <t>Closed</t>
        </is>
      </c>
      <c r="G22" s="5" t="inlineStr">
        <is>
          <t>2026-04</t>
        </is>
      </c>
      <c r="H22" s="5" t="inlineStr">
        <is>
          <t>2026-04</t>
        </is>
      </c>
      <c r="I22" s="5" t="inlineStr">
        <is>
          <t>95d3512, e59fd55 (2026-03-08); 518fb8e (2026-04-08); c6b834d (2026-06-27)</t>
        </is>
      </c>
      <c r="J22" s="5" t="inlineStr">
        <is>
          <t>—</t>
        </is>
      </c>
      <c r="K22" s="5" t="n">
        <v>1</v>
      </c>
      <c r="L22" s="5" t="inlineStr">
        <is>
          <t>v1.0.0</t>
        </is>
      </c>
    </row>
    <row r="23">
      <c r="A23" s="5" t="inlineStr">
        <is>
          <t>AC-22</t>
        </is>
      </c>
      <c r="B23" s="5" t="inlineStr">
        <is>
          <t>CR-2026-02</t>
        </is>
      </c>
      <c r="C23" s="5" t="inlineStr">
        <is>
          <t>P-2026-2</t>
        </is>
      </c>
      <c r="D23" s="5" t="inlineStr">
        <is>
          <t>DoD FMR knowledge base: try BookRAG and PageIndex; adopt hierarchical section → chunk retrieval with table-of-contents routing and regulation-tuned query classification</t>
        </is>
      </c>
      <c r="E23" s="5" t="inlineStr">
        <is>
          <t>Richard Watson Stephen Amudha</t>
        </is>
      </c>
      <c r="F23" s="9" t="inlineStr">
        <is>
          <t>Closed</t>
        </is>
      </c>
      <c r="G23" s="5" t="inlineStr">
        <is>
          <t>2026-03</t>
        </is>
      </c>
      <c r="H23" s="5" t="inlineStr">
        <is>
          <t>2026-03</t>
        </is>
      </c>
      <c r="I23" s="5" t="inlineStr">
        <is>
          <t>31f1205, 045b1b1 (03-03); 18715c7, cfe3360 (03-05); 5057a30 (03-06). BookRAG 23ac2f9 (03-07) measured 43/52 vs 50/52 and was switched off (2decb99, 07-30); PageIndex evaluated, not adopted</t>
        </is>
      </c>
      <c r="J23" s="5" t="inlineStr">
        <is>
          <t>—</t>
        </is>
      </c>
      <c r="K23" s="5" t="n">
        <v>1</v>
      </c>
      <c r="L23" s="5" t="inlineStr">
        <is>
          <t>v1.0.0</t>
        </is>
      </c>
    </row>
    <row r="24">
      <c r="A24" s="5" t="inlineStr">
        <is>
          <t>AC-23</t>
        </is>
      </c>
      <c r="B24" s="5" t="inlineStr">
        <is>
          <t>CR-2026-03</t>
        </is>
      </c>
      <c r="C24" s="5" t="inlineStr">
        <is>
          <t>P-2026-2</t>
        </is>
      </c>
      <c r="D24" s="5" t="inlineStr">
        <is>
          <t>Replace the Unmute stack with NVIDIA PersonaPlex</t>
        </is>
      </c>
      <c r="E24" s="5" t="inlineStr">
        <is>
          <t>Richard Watson Stephen Amudha</t>
        </is>
      </c>
      <c r="F24" s="9" t="inlineStr">
        <is>
          <t>Closed</t>
        </is>
      </c>
      <c r="G24" s="5" t="inlineStr">
        <is>
          <t>2026-03</t>
        </is>
      </c>
      <c r="H24" s="5" t="inlineStr">
        <is>
          <t>2026-03</t>
        </is>
      </c>
      <c r="I24" s="5" t="inlineStr">
        <is>
          <t>Trial compared in the QASC 2026 paper; trial code not kept</t>
        </is>
      </c>
      <c r="J24" s="5" t="inlineStr">
        <is>
          <t>—</t>
        </is>
      </c>
      <c r="K24" s="5" t="n">
        <v>1</v>
      </c>
      <c r="L24" s="5" t="inlineStr">
        <is>
          <t>v1.0.0</t>
        </is>
      </c>
    </row>
    <row r="25">
      <c r="A25" s="5" t="inlineStr">
        <is>
          <t>AC-24</t>
        </is>
      </c>
      <c r="B25" s="5" t="inlineStr">
        <is>
          <t>CR-2026-04</t>
        </is>
      </c>
      <c r="C25" s="5" t="inlineStr">
        <is>
          <t>P-2026-2</t>
        </is>
      </c>
      <c r="D25" s="5" t="inlineStr">
        <is>
          <t>Build our own dual-loop conversation architecture grounded in the customer's knowledge base</t>
        </is>
      </c>
      <c r="E25" s="5" t="inlineStr">
        <is>
          <t>Richard Watson Stephen Amudha</t>
        </is>
      </c>
      <c r="F25" s="9" t="inlineStr">
        <is>
          <t>Closed</t>
        </is>
      </c>
      <c r="G25" s="5" t="inlineStr">
        <is>
          <t>2026-04</t>
        </is>
      </c>
      <c r="H25" s="5" t="inlineStr">
        <is>
          <t>2026-04</t>
        </is>
      </c>
      <c r="I25" s="5" t="inlineStr">
        <is>
          <t>ddc0aa3, d89aeda (04-08); fbbadd0 (05-28); 5ce8bbe, cbc57d1 (08-07) — 636 ms median first audio vs 866 ms single loop</t>
        </is>
      </c>
      <c r="J25" s="5" t="inlineStr">
        <is>
          <t>—</t>
        </is>
      </c>
      <c r="K25" s="5" t="n">
        <v>1</v>
      </c>
      <c r="L25" s="5" t="inlineStr">
        <is>
          <t>v1.1.0</t>
        </is>
      </c>
    </row>
    <row r="26">
      <c r="A26" s="5" t="inlineStr">
        <is>
          <t>AC-25</t>
        </is>
      </c>
      <c r="B26" s="5" t="inlineStr">
        <is>
          <t>CR-2026-05</t>
        </is>
      </c>
      <c r="C26" s="5" t="inlineStr">
        <is>
          <t>P-2026-2</t>
        </is>
      </c>
      <c r="D26" s="5" t="inlineStr">
        <is>
          <t>Hotspot: unit raises a Wi-Fi hotspot at every boot and serves a landing page that opens the applications</t>
        </is>
      </c>
      <c r="E26" s="5" t="inlineStr">
        <is>
          <t>Alexander Peter</t>
        </is>
      </c>
      <c r="F26" s="9" t="inlineStr">
        <is>
          <t>Closed</t>
        </is>
      </c>
      <c r="G26" s="5" t="inlineStr">
        <is>
          <t>2026-04</t>
        </is>
      </c>
      <c r="H26" s="5" t="inlineStr">
        <is>
          <t>2026-04</t>
        </is>
      </c>
      <c r="I26" s="5" t="inlineStr">
        <is>
          <t>Built on the deployment unit; offline preparation 0818cdc (2026-04-10)</t>
        </is>
      </c>
      <c r="J26" s="5" t="inlineStr">
        <is>
          <t>—</t>
        </is>
      </c>
      <c r="K26" s="5" t="n">
        <v>1</v>
      </c>
      <c r="L26" s="5" t="inlineStr">
        <is>
          <t>v1.1.0</t>
        </is>
      </c>
    </row>
    <row r="27">
      <c r="A27" s="5" t="inlineStr">
        <is>
          <t>AC-26</t>
        </is>
      </c>
      <c r="B27" s="5" t="inlineStr">
        <is>
          <t>CR-2026-05</t>
        </is>
      </c>
      <c r="C27" s="5" t="inlineStr">
        <is>
          <t>P-2026-2</t>
        </is>
      </c>
      <c r="D27" s="5" t="inlineStr">
        <is>
          <t>Bring the hotspot configuration under version control and add it to the deployment guide</t>
        </is>
      </c>
      <c r="E27" s="5" t="inlineStr">
        <is>
          <t>Alexander Peter</t>
        </is>
      </c>
      <c r="F27" s="11" t="inlineStr">
        <is>
          <t>Open</t>
        </is>
      </c>
      <c r="G27" s="5" t="inlineStr">
        <is>
          <t>2026-10-31</t>
        </is>
      </c>
      <c r="H27" s="5" t="inlineStr"/>
      <c r="I27" s="5" t="inlineStr">
        <is>
          <t>—</t>
        </is>
      </c>
      <c r="J27" s="5" t="inlineStr">
        <is>
          <t>—</t>
        </is>
      </c>
      <c r="K27" s="5" t="n">
        <v>1</v>
      </c>
      <c r="L27" s="5" t="inlineStr">
        <is>
          <t>v1.1.0</t>
        </is>
      </c>
    </row>
    <row r="28">
      <c r="A28" s="5" t="inlineStr">
        <is>
          <t>AC-27</t>
        </is>
      </c>
      <c r="B28" s="5" t="inlineStr">
        <is>
          <t>CR-2026-06</t>
        </is>
      </c>
      <c r="C28" s="5" t="inlineStr">
        <is>
          <t>P-2026-2</t>
        </is>
      </c>
      <c r="D28" s="5" t="inlineStr">
        <is>
          <t>Replace Whisper with Nemotron streaming speech recognition for live transcription</t>
        </is>
      </c>
      <c r="E28" s="5" t="inlineStr">
        <is>
          <t>Richard Watson Stephen Amudha</t>
        </is>
      </c>
      <c r="F28" s="9" t="inlineStr">
        <is>
          <t>Closed</t>
        </is>
      </c>
      <c r="G28" s="5" t="inlineStr">
        <is>
          <t>2026-04-08</t>
        </is>
      </c>
      <c r="H28" s="5" t="inlineStr">
        <is>
          <t>2026-04-08</t>
        </is>
      </c>
      <c r="I28" s="5" t="inlineStr">
        <is>
          <t>d89aeda, 172b94c, ddc0aa3</t>
        </is>
      </c>
      <c r="J28" s="5" t="inlineStr">
        <is>
          <t>—</t>
        </is>
      </c>
      <c r="K28" s="5" t="n">
        <v>1</v>
      </c>
      <c r="L28" s="5" t="inlineStr">
        <is>
          <t>v1.1.0</t>
        </is>
      </c>
    </row>
    <row r="29">
      <c r="A29" s="5" t="inlineStr">
        <is>
          <t>AC-28</t>
        </is>
      </c>
      <c r="B29" s="5" t="inlineStr">
        <is>
          <t>CR-2026-06</t>
        </is>
      </c>
      <c r="C29" s="5" t="inlineStr">
        <is>
          <t>P-2026-2</t>
        </is>
      </c>
      <c r="D29" s="5" t="inlineStr">
        <is>
          <t>Accurate final transcript with Parakeet-TDT and automatic fallback to the streaming model</t>
        </is>
      </c>
      <c r="E29" s="5" t="inlineStr">
        <is>
          <t>Richard Watson Stephen Amudha</t>
        </is>
      </c>
      <c r="F29" s="9" t="inlineStr">
        <is>
          <t>Closed</t>
        </is>
      </c>
      <c r="G29" s="5" t="inlineStr">
        <is>
          <t>2026-06-26</t>
        </is>
      </c>
      <c r="H29" s="5" t="inlineStr">
        <is>
          <t>2026-06-26</t>
        </is>
      </c>
      <c r="I29" s="5" t="inlineStr">
        <is>
          <t>b6a70d8, 3a6b1f9 — fixes 'DoD FMR' → 'DODFMA'</t>
        </is>
      </c>
      <c r="J29" s="5" t="inlineStr">
        <is>
          <t>—</t>
        </is>
      </c>
      <c r="K29" s="5" t="n">
        <v>1</v>
      </c>
      <c r="L29" s="5" t="inlineStr">
        <is>
          <t>v1.1.0</t>
        </is>
      </c>
    </row>
    <row r="30">
      <c r="A30" s="5" t="inlineStr">
        <is>
          <t>AC-29</t>
        </is>
      </c>
      <c r="B30" s="5" t="inlineStr">
        <is>
          <t>CR-2026-06</t>
        </is>
      </c>
      <c r="C30" s="5" t="inlineStr">
        <is>
          <t>P-2026-2</t>
        </is>
      </c>
      <c r="D30" s="5" t="inlineStr">
        <is>
          <t>Move chat generation from Ollama to TensorRT-LLM for speed</t>
        </is>
      </c>
      <c r="E30" s="5" t="inlineStr">
        <is>
          <t>Richard Watson Stephen Amudha</t>
        </is>
      </c>
      <c r="F30" s="9" t="inlineStr">
        <is>
          <t>Closed</t>
        </is>
      </c>
      <c r="G30" s="5" t="inlineStr">
        <is>
          <t>2026-07-29</t>
        </is>
      </c>
      <c r="H30" s="5" t="inlineStr">
        <is>
          <t>2026-07-29</t>
        </is>
      </c>
      <c r="I30" s="5" t="inlineStr">
        <is>
          <t>06e788a (03-20) integration; 80375c6 (07-29) Qwen3-30B-A3B NVFP4 on TensorRT-LLM; Ollama kept for embeddings and rollback</t>
        </is>
      </c>
      <c r="J30" s="5" t="inlineStr">
        <is>
          <t>—</t>
        </is>
      </c>
      <c r="K30" s="5" t="n">
        <v>1</v>
      </c>
      <c r="L30" s="5" t="inlineStr">
        <is>
          <t>v1.1.0</t>
        </is>
      </c>
    </row>
    <row r="31">
      <c r="A31" s="5" t="inlineStr">
        <is>
          <t>AC-30</t>
        </is>
      </c>
      <c r="B31" s="5" t="inlineStr">
        <is>
          <t>CR-2026-07</t>
        </is>
      </c>
      <c r="C31" s="5" t="inlineStr">
        <is>
          <t>P-2026-3</t>
        </is>
      </c>
      <c r="D31" s="5" t="inlineStr">
        <is>
          <t>Silent Assistant: runs with the live transcript; an assistant and an agent check the content continuously and surface data and pointers on screen without replying</t>
        </is>
      </c>
      <c r="E31" s="5" t="inlineStr">
        <is>
          <t>Richard Watson Stephen Amudha</t>
        </is>
      </c>
      <c r="F31" s="9" t="inlineStr">
        <is>
          <t>Closed</t>
        </is>
      </c>
      <c r="G31" s="5" t="inlineStr">
        <is>
          <t>2026-05-11</t>
        </is>
      </c>
      <c r="H31" s="5" t="inlineStr">
        <is>
          <t>2026-05-11</t>
        </is>
      </c>
      <c r="I31" s="5" t="inlineStr">
        <is>
          <t>ec9b180 (2026-05-11)</t>
        </is>
      </c>
      <c r="J31" s="5" t="inlineStr">
        <is>
          <t>—</t>
        </is>
      </c>
      <c r="K31" s="5" t="n">
        <v>1</v>
      </c>
      <c r="L31" s="5" t="inlineStr">
        <is>
          <t>v1.1.0</t>
        </is>
      </c>
    </row>
    <row r="32">
      <c r="A32" s="5" t="inlineStr">
        <is>
          <t>AC-31</t>
        </is>
      </c>
      <c r="B32" s="5" t="inlineStr">
        <is>
          <t>CR-2026-07</t>
        </is>
      </c>
      <c r="C32" s="5" t="inlineStr">
        <is>
          <t>P-2026-3</t>
        </is>
      </c>
      <c r="D32" s="5" t="inlineStr">
        <is>
          <t>Law rule pack, always-surface mode, namespace awareness; sentence-level checks with quoted proof</t>
        </is>
      </c>
      <c r="E32" s="5" t="inlineStr">
        <is>
          <t>Richard Watson Stephen Amudha</t>
        </is>
      </c>
      <c r="F32" s="9" t="inlineStr">
        <is>
          <t>Closed</t>
        </is>
      </c>
      <c r="G32" s="5" t="inlineStr">
        <is>
          <t>2026-08-16</t>
        </is>
      </c>
      <c r="H32" s="5" t="inlineStr">
        <is>
          <t>2026-08-16</t>
        </is>
      </c>
      <c r="I32" s="5" t="inlineStr">
        <is>
          <t>f75121b (06-27), 7f2658a (08-16)</t>
        </is>
      </c>
      <c r="J32" s="5" t="inlineStr">
        <is>
          <t>—</t>
        </is>
      </c>
      <c r="K32" s="5" t="n">
        <v>1</v>
      </c>
      <c r="L32" s="5" t="inlineStr">
        <is>
          <t>v1.1.0</t>
        </is>
      </c>
    </row>
    <row r="33">
      <c r="A33" s="5" t="inlineStr">
        <is>
          <t>AC-32</t>
        </is>
      </c>
      <c r="B33" s="5" t="inlineStr">
        <is>
          <t>CR-2026-08</t>
        </is>
      </c>
      <c r="C33" s="5" t="inlineStr">
        <is>
          <t>P-2026-3</t>
        </is>
      </c>
      <c r="D33" s="5" t="inlineStr">
        <is>
          <t>Select a diarisation model by trial; build Boardroom (group discussion, speaker-separated transcript, report)</t>
        </is>
      </c>
      <c r="E33" s="5" t="inlineStr">
        <is>
          <t>Richard Watson Stephen Amudha</t>
        </is>
      </c>
      <c r="F33" s="9" t="inlineStr">
        <is>
          <t>Closed</t>
        </is>
      </c>
      <c r="G33" s="5" t="inlineStr">
        <is>
          <t>2026-05-27</t>
        </is>
      </c>
      <c r="H33" s="5" t="inlineStr">
        <is>
          <t>2026-05-27</t>
        </is>
      </c>
      <c r="I33" s="5" t="inlineStr">
        <is>
          <t>f540976 (05-14), cf463aa (05-19), e1a337b (05-27); VibeVoice-ASR adopted (REG-02 M-06)</t>
        </is>
      </c>
      <c r="J33" s="5" t="inlineStr">
        <is>
          <t>—</t>
        </is>
      </c>
      <c r="K33" s="5" t="n">
        <v>1</v>
      </c>
      <c r="L33" s="5" t="inlineStr">
        <is>
          <t>v1.2.0</t>
        </is>
      </c>
    </row>
    <row r="34">
      <c r="A34" s="5" t="inlineStr">
        <is>
          <t>AC-33</t>
        </is>
      </c>
      <c r="B34" s="5" t="inlineStr">
        <is>
          <t>CR-2026-08</t>
        </is>
      </c>
      <c r="C34" s="5" t="inlineStr">
        <is>
          <t>P-2026-3</t>
        </is>
      </c>
      <c r="D34" s="5" t="inlineStr">
        <is>
          <t>Harden Boardroom: report salvage when the model output is truncated</t>
        </is>
      </c>
      <c r="E34" s="5" t="inlineStr">
        <is>
          <t>Richard Watson Stephen Amudha</t>
        </is>
      </c>
      <c r="F34" s="9" t="inlineStr">
        <is>
          <t>Closed</t>
        </is>
      </c>
      <c r="G34" s="5" t="inlineStr">
        <is>
          <t>2026-09-04</t>
        </is>
      </c>
      <c r="H34" s="5" t="inlineStr">
        <is>
          <t>2026-09-04</t>
        </is>
      </c>
      <c r="I34" s="5" t="inlineStr">
        <is>
          <t>b08cf25 (06-18), 724fb98 (09-04)</t>
        </is>
      </c>
      <c r="J34" s="5" t="inlineStr">
        <is>
          <t>—</t>
        </is>
      </c>
      <c r="K34" s="5" t="n">
        <v>1</v>
      </c>
      <c r="L34" s="5" t="inlineStr">
        <is>
          <t>v1.2.0</t>
        </is>
      </c>
    </row>
    <row r="35">
      <c r="A35" s="5" t="inlineStr">
        <is>
          <t>AC-34</t>
        </is>
      </c>
      <c r="B35" s="5" t="inlineStr">
        <is>
          <t>CR-2026-09</t>
        </is>
      </c>
      <c r="C35" s="5" t="inlineStr">
        <is>
          <t>P-2026-3</t>
        </is>
      </c>
      <c r="D35" s="5" t="inlineStr">
        <is>
          <t>Evaluate image-generation and document models; build Document Studio with PDF and PPTX export, on-device images, with and without a template</t>
        </is>
      </c>
      <c r="E35" s="5" t="inlineStr">
        <is>
          <t>Richard Watson Stephen Amudha</t>
        </is>
      </c>
      <c r="F35" s="9" t="inlineStr">
        <is>
          <t>Closed</t>
        </is>
      </c>
      <c r="G35" s="5" t="inlineStr">
        <is>
          <t>2026-06-27</t>
        </is>
      </c>
      <c r="H35" s="5" t="inlineStr">
        <is>
          <t>2026-06-27</t>
        </is>
      </c>
      <c r="I35" s="5" t="inlineStr">
        <is>
          <t>2d23f40 (06-20), 66356f9 (06-27); SDXL-Turbo on device (REG-02)</t>
        </is>
      </c>
      <c r="J35" s="5" t="inlineStr">
        <is>
          <t>—</t>
        </is>
      </c>
      <c r="K35" s="5" t="n">
        <v>1</v>
      </c>
      <c r="L35" s="5" t="inlineStr">
        <is>
          <t>v1.2.0</t>
        </is>
      </c>
    </row>
    <row r="36">
      <c r="A36" s="5" t="inlineStr">
        <is>
          <t>AC-35</t>
        </is>
      </c>
      <c r="B36" s="5" t="inlineStr">
        <is>
          <t>SR-2026-01</t>
        </is>
      </c>
      <c r="C36" s="5" t="inlineStr">
        <is>
          <t>P-2026-3</t>
        </is>
      </c>
      <c r="D36" s="5" t="inlineStr">
        <is>
          <t>Allow-list audio formats and contain upload paths (Boardroom)</t>
        </is>
      </c>
      <c r="E36" s="5" t="inlineStr">
        <is>
          <t>Richard Watson Stephen Amudha</t>
        </is>
      </c>
      <c r="F36" s="9" t="inlineStr">
        <is>
          <t>Closed</t>
        </is>
      </c>
      <c r="G36" s="5" t="inlineStr">
        <is>
          <t>2026-06-18</t>
        </is>
      </c>
      <c r="H36" s="5" t="inlineStr">
        <is>
          <t>2026-06-18</t>
        </is>
      </c>
      <c r="I36" s="5" t="inlineStr">
        <is>
          <t>b08cf25</t>
        </is>
      </c>
      <c r="J36" s="5" t="inlineStr">
        <is>
          <t>—</t>
        </is>
      </c>
      <c r="K36" s="5" t="n">
        <v>1</v>
      </c>
      <c r="L36" s="5" t="inlineStr">
        <is>
          <t>v1.2.0</t>
        </is>
      </c>
    </row>
    <row r="37">
      <c r="A37" s="5" t="inlineStr">
        <is>
          <t>AC-36</t>
        </is>
      </c>
      <c r="B37" s="5" t="inlineStr">
        <is>
          <t>SR-2026-01</t>
        </is>
      </c>
      <c r="C37" s="5" t="inlineStr">
        <is>
          <t>P-2026-3</t>
        </is>
      </c>
      <c r="D37" s="5" t="inlineStr">
        <is>
          <t>Escape all LLM and transcript text in PDF export</t>
        </is>
      </c>
      <c r="E37" s="5" t="inlineStr">
        <is>
          <t>Richard Watson Stephen Amudha</t>
        </is>
      </c>
      <c r="F37" s="9" t="inlineStr">
        <is>
          <t>Closed</t>
        </is>
      </c>
      <c r="G37" s="5" t="inlineStr">
        <is>
          <t>2026-06-18</t>
        </is>
      </c>
      <c r="H37" s="5" t="inlineStr">
        <is>
          <t>2026-06-18</t>
        </is>
      </c>
      <c r="I37" s="5" t="inlineStr">
        <is>
          <t>b08cf25</t>
        </is>
      </c>
      <c r="J37" s="5" t="inlineStr">
        <is>
          <t>—</t>
        </is>
      </c>
      <c r="K37" s="5" t="n">
        <v>1</v>
      </c>
      <c r="L37" s="5" t="inlineStr">
        <is>
          <t>v1.2.0</t>
        </is>
      </c>
    </row>
    <row r="38">
      <c r="A38" s="5" t="inlineStr">
        <is>
          <t>AC-37</t>
        </is>
      </c>
      <c r="B38" s="5" t="inlineStr">
        <is>
          <t>SR-2026-01</t>
        </is>
      </c>
      <c r="C38" s="5" t="inlineStr">
        <is>
          <t>P-2026-3</t>
        </is>
      </c>
      <c r="D38" s="5" t="inlineStr">
        <is>
          <t>Prompt-injection guards and fenced untrusted context in chat, Boardroom and voice</t>
        </is>
      </c>
      <c r="E38" s="5" t="inlineStr">
        <is>
          <t>Richard Watson Stephen Amudha</t>
        </is>
      </c>
      <c r="F38" s="9" t="inlineStr">
        <is>
          <t>Closed</t>
        </is>
      </c>
      <c r="G38" s="5" t="inlineStr">
        <is>
          <t>2026-06-18</t>
        </is>
      </c>
      <c r="H38" s="5" t="inlineStr">
        <is>
          <t>2026-06-18</t>
        </is>
      </c>
      <c r="I38" s="5" t="inlineStr">
        <is>
          <t>b08cf25; unit tests run by CI since 2026-10-07</t>
        </is>
      </c>
      <c r="J38" s="5" t="inlineStr">
        <is>
          <t>—</t>
        </is>
      </c>
      <c r="K38" s="5" t="n">
        <v>1</v>
      </c>
      <c r="L38" s="5" t="inlineStr">
        <is>
          <t>v1.2.0</t>
        </is>
      </c>
    </row>
    <row r="39">
      <c r="A39" s="5" t="inlineStr">
        <is>
          <t>AC-38</t>
        </is>
      </c>
      <c r="B39" s="5" t="inlineStr">
        <is>
          <t>SR-2026-01</t>
        </is>
      </c>
      <c r="C39" s="5" t="inlineStr">
        <is>
          <t>P-2026-3</t>
        </is>
      </c>
      <c r="D39" s="5" t="inlineStr">
        <is>
          <t>Stop logging full prompts at INFO; server-generated transcript session IDs</t>
        </is>
      </c>
      <c r="E39" s="5" t="inlineStr">
        <is>
          <t>Richard Watson Stephen Amudha</t>
        </is>
      </c>
      <c r="F39" s="9" t="inlineStr">
        <is>
          <t>Closed</t>
        </is>
      </c>
      <c r="G39" s="5" t="inlineStr">
        <is>
          <t>2026-06-18</t>
        </is>
      </c>
      <c r="H39" s="5" t="inlineStr">
        <is>
          <t>2026-06-18</t>
        </is>
      </c>
      <c r="I39" s="5" t="inlineStr">
        <is>
          <t>b08cf25</t>
        </is>
      </c>
      <c r="J39" s="5" t="inlineStr">
        <is>
          <t>—</t>
        </is>
      </c>
      <c r="K39" s="5" t="n">
        <v>1</v>
      </c>
      <c r="L39" s="5" t="inlineStr">
        <is>
          <t>v1.2.0</t>
        </is>
      </c>
    </row>
    <row r="40">
      <c r="A40" s="5" t="inlineStr">
        <is>
          <t>AC-01</t>
        </is>
      </c>
      <c r="B40" s="5" t="inlineStr">
        <is>
          <t>RV-2026-01</t>
        </is>
      </c>
      <c r="C40" s="5" t="inlineStr">
        <is>
          <t>P-2026-4</t>
        </is>
      </c>
      <c r="D40" s="5" t="inlineStr">
        <is>
          <t>Enforce namespace predicate on the sparse transcript path; audit all paths</t>
        </is>
      </c>
      <c r="E40" s="5" t="inlineStr">
        <is>
          <t>Richard Watson Stephen Amudha</t>
        </is>
      </c>
      <c r="F40" s="9" t="inlineStr">
        <is>
          <t>Closed</t>
        </is>
      </c>
      <c r="G40" s="5" t="inlineStr">
        <is>
          <t>2026-08-07</t>
        </is>
      </c>
      <c r="H40" s="5" t="inlineStr">
        <is>
          <t>2026-08-07</t>
        </is>
      </c>
      <c r="I40" s="5" t="inlineStr">
        <is>
          <t>4e27109 — 0/359 out-of-namespace hits</t>
        </is>
      </c>
      <c r="J40" s="5" t="inlineStr">
        <is>
          <t>—</t>
        </is>
      </c>
      <c r="K40" s="5" t="n">
        <v>1</v>
      </c>
      <c r="L40" s="5" t="inlineStr">
        <is>
          <t>v1.3.0</t>
        </is>
      </c>
    </row>
    <row r="41">
      <c r="A41" s="5" t="inlineStr">
        <is>
          <t>AC-02</t>
        </is>
      </c>
      <c r="B41" s="5" t="inlineStr">
        <is>
          <t>RV-2026-01</t>
        </is>
      </c>
      <c r="C41" s="5" t="inlineStr">
        <is>
          <t>P-2026-4</t>
        </is>
      </c>
      <c r="D41" s="5" t="inlineStr">
        <is>
          <t>Fix five retrieval defects found by the golden suite</t>
        </is>
      </c>
      <c r="E41" s="5" t="inlineStr">
        <is>
          <t>Richard Watson Stephen Amudha</t>
        </is>
      </c>
      <c r="F41" s="9" t="inlineStr">
        <is>
          <t>Closed</t>
        </is>
      </c>
      <c r="G41" s="5" t="inlineStr">
        <is>
          <t>2026-07-29</t>
        </is>
      </c>
      <c r="H41" s="5" t="inlineStr">
        <is>
          <t>2026-07-29</t>
        </is>
      </c>
      <c r="I41" s="5" t="inlineStr">
        <is>
          <t>ebd232f — suite restored to 49/52</t>
        </is>
      </c>
      <c r="J41" s="5" t="inlineStr">
        <is>
          <t>—</t>
        </is>
      </c>
      <c r="K41" s="5" t="n">
        <v>1</v>
      </c>
      <c r="L41" s="5" t="inlineStr">
        <is>
          <t>v1.3.0</t>
        </is>
      </c>
    </row>
    <row r="42">
      <c r="A42" s="5" t="inlineStr">
        <is>
          <t>AC-03</t>
        </is>
      </c>
      <c r="B42" s="5" t="inlineStr">
        <is>
          <t>RV-2026-02</t>
        </is>
      </c>
      <c r="C42" s="5" t="inlineStr">
        <is>
          <t>P-2026-4</t>
        </is>
      </c>
      <c r="D42" s="5" t="inlineStr">
        <is>
          <t>Record contradicting findings verbatim; correct the claims in the next paper version</t>
        </is>
      </c>
      <c r="E42" s="5" t="inlineStr">
        <is>
          <t>Richard Watson Stephen Amudha</t>
        </is>
      </c>
      <c r="F42" s="11" t="inlineStr">
        <is>
          <t>Open (recording done)</t>
        </is>
      </c>
      <c r="G42" s="5" t="inlineStr">
        <is>
          <t>Next version</t>
        </is>
      </c>
      <c r="H42" s="5" t="inlineStr"/>
      <c r="I42" s="5" t="inlineStr">
        <is>
          <t>SUMMARY.json</t>
        </is>
      </c>
      <c r="J42" s="5" t="inlineStr">
        <is>
          <t>#19, #27</t>
        </is>
      </c>
      <c r="K42" s="5" t="n">
        <v>1</v>
      </c>
      <c r="L42" s="5" t="inlineStr">
        <is>
          <t>v1.3.0</t>
        </is>
      </c>
    </row>
    <row r="43">
      <c r="A43" s="5" t="inlineStr">
        <is>
          <t>AC-04</t>
        </is>
      </c>
      <c r="B43" s="5" t="inlineStr">
        <is>
          <t>RV-2026-03</t>
        </is>
      </c>
      <c r="C43" s="5" t="inlineStr">
        <is>
          <t>P-2026-5</t>
        </is>
      </c>
      <c r="D43" s="5" t="inlineStr">
        <is>
          <t>22 confirmed voice findings fixed before release (e.g. abort blocking the event loop; WebSocket close not aborting generation; hold phrase racing the answer; mid-word text split)</t>
        </is>
      </c>
      <c r="E43" s="5" t="inlineStr">
        <is>
          <t>Richard Watson Stephen Amudha</t>
        </is>
      </c>
      <c r="F43" s="9" t="inlineStr">
        <is>
          <t>Closed</t>
        </is>
      </c>
      <c r="G43" s="5" t="inlineStr">
        <is>
          <t>2026-09-21</t>
        </is>
      </c>
      <c r="H43" s="5" t="inlineStr">
        <is>
          <t>2026-09-21</t>
        </is>
      </c>
      <c r="I43" s="5" t="inlineStr">
        <is>
          <t>ff29843 — 12/12 spoken turns, barge-in verified, 0 CUDA errors</t>
        </is>
      </c>
      <c r="J43" s="5" t="inlineStr">
        <is>
          <t>—</t>
        </is>
      </c>
      <c r="K43" s="5" t="n">
        <v>22</v>
      </c>
      <c r="L43" s="5" t="inlineStr">
        <is>
          <t>v1.4.0</t>
        </is>
      </c>
    </row>
    <row r="44">
      <c r="A44" s="5" t="inlineStr">
        <is>
          <t>AC-05</t>
        </is>
      </c>
      <c r="B44" s="5" t="inlineStr">
        <is>
          <t>RV-2026-04</t>
        </is>
      </c>
      <c r="C44" s="5" t="inlineStr">
        <is>
          <t>P-2026-5</t>
        </is>
      </c>
      <c r="D44" s="5" t="inlineStr">
        <is>
          <t>Make the evaluation abort when its corpus is missing</t>
        </is>
      </c>
      <c r="E44" s="5" t="inlineStr">
        <is>
          <t>Richard Watson Stephen Amudha</t>
        </is>
      </c>
      <c r="F44" s="9" t="inlineStr">
        <is>
          <t>Closed</t>
        </is>
      </c>
      <c r="G44" s="5" t="inlineStr">
        <is>
          <t>2026-10-07</t>
        </is>
      </c>
      <c r="H44" s="5" t="inlineStr">
        <is>
          <t>2026-10-07</t>
        </is>
      </c>
      <c r="I44" s="5" t="inlineStr">
        <is>
          <t>f3aca50 — aborts listing 15 documents</t>
        </is>
      </c>
      <c r="J44" s="5" t="inlineStr">
        <is>
          <t>#48</t>
        </is>
      </c>
      <c r="K44" s="5" t="n">
        <v>1</v>
      </c>
      <c r="L44" s="5" t="inlineStr">
        <is>
          <t>v1.4.0</t>
        </is>
      </c>
    </row>
    <row r="45">
      <c r="A45" s="5" t="inlineStr">
        <is>
          <t>AC-06</t>
        </is>
      </c>
      <c r="B45" s="5" t="inlineStr">
        <is>
          <t>RV-2026-04</t>
        </is>
      </c>
      <c r="C45" s="5" t="inlineStr">
        <is>
          <t>P-2026-5</t>
        </is>
      </c>
      <c r="D45" s="5" t="inlineStr">
        <is>
          <t>Restore the evaluation corpus and re-measure</t>
        </is>
      </c>
      <c r="E45" s="5" t="inlineStr">
        <is>
          <t>Richard Watson Stephen Amudha</t>
        </is>
      </c>
      <c r="F45" s="11" t="inlineStr">
        <is>
          <t>Open</t>
        </is>
      </c>
      <c r="G45" s="5" t="inlineStr">
        <is>
          <t>2026-10-13</t>
        </is>
      </c>
      <c r="H45" s="5" t="inlineStr"/>
      <c r="I45" s="5" t="inlineStr">
        <is>
          <t>—</t>
        </is>
      </c>
      <c r="J45" s="5" t="inlineStr">
        <is>
          <t>#47</t>
        </is>
      </c>
      <c r="K45" s="5" t="n">
        <v>1</v>
      </c>
      <c r="L45" s="5" t="inlineStr">
        <is>
          <t>v1.4.0</t>
        </is>
      </c>
    </row>
    <row r="46">
      <c r="A46" s="5" t="inlineStr">
        <is>
          <t>AC-07</t>
        </is>
      </c>
      <c r="B46" s="5" t="inlineStr">
        <is>
          <t>RV-2026-05</t>
        </is>
      </c>
      <c r="C46" s="5" t="inlineStr">
        <is>
          <t>P-2026-5</t>
        </is>
      </c>
      <c r="D46" s="5" t="inlineStr">
        <is>
          <t>Correct stale tests and type errors</t>
        </is>
      </c>
      <c r="E46" s="5" t="inlineStr">
        <is>
          <t>Richard Watson Stephen Amudha</t>
        </is>
      </c>
      <c r="F46" s="9" t="inlineStr">
        <is>
          <t>Closed</t>
        </is>
      </c>
      <c r="G46" s="5" t="inlineStr">
        <is>
          <t>2026-09-28</t>
        </is>
      </c>
      <c r="H46" s="5" t="inlineStr">
        <is>
          <t>2026-09-28</t>
        </is>
      </c>
      <c r="I46" s="5" t="inlineStr">
        <is>
          <t>5ddf8a6, 736ea61</t>
        </is>
      </c>
      <c r="J46" s="5" t="inlineStr">
        <is>
          <t>—</t>
        </is>
      </c>
      <c r="K46" s="5" t="n">
        <v>1</v>
      </c>
      <c r="L46" s="5" t="inlineStr">
        <is>
          <t>v1.4.0</t>
        </is>
      </c>
    </row>
    <row r="47">
      <c r="A47" s="5" t="inlineStr">
        <is>
          <t>AC-08</t>
        </is>
      </c>
      <c r="B47" s="5" t="inlineStr">
        <is>
          <t>RV-2026-05</t>
        </is>
      </c>
      <c r="C47" s="5" t="inlineStr">
        <is>
          <t>P-2026-5</t>
        </is>
      </c>
      <c r="D47" s="5" t="inlineStr">
        <is>
          <t>Run the suites automatically on every push (CI)</t>
        </is>
      </c>
      <c r="E47" s="5" t="inlineStr">
        <is>
          <t>Richard Watson Stephen Amudha</t>
        </is>
      </c>
      <c r="F47" s="9" t="inlineStr">
        <is>
          <t>Closed</t>
        </is>
      </c>
      <c r="G47" s="5" t="inlineStr">
        <is>
          <t>2026-10-07</t>
        </is>
      </c>
      <c r="H47" s="5" t="inlineStr">
        <is>
          <t>2026-10-07</t>
        </is>
      </c>
      <c r="I47" s="5" t="inlineStr">
        <is>
          <t>CI runs 37561379960 (pass) / 37561804619 (fails on broken test)</t>
        </is>
      </c>
      <c r="J47" s="5" t="inlineStr">
        <is>
          <t>#50</t>
        </is>
      </c>
      <c r="K47" s="5" t="n">
        <v>1</v>
      </c>
      <c r="L47" s="5" t="inlineStr">
        <is>
          <t>v1.4.0</t>
        </is>
      </c>
    </row>
    <row r="48">
      <c r="A48" s="5" t="inlineStr">
        <is>
          <t>AC-09</t>
        </is>
      </c>
      <c r="B48" s="5" t="inlineStr">
        <is>
          <t>RV-2026-06</t>
        </is>
      </c>
      <c r="C48" s="5" t="inlineStr">
        <is>
          <t>P-2026-5</t>
        </is>
      </c>
      <c r="D48" s="5" t="inlineStr">
        <is>
          <t>Restore application login on the public instance</t>
        </is>
      </c>
      <c r="E48" s="5" t="inlineStr">
        <is>
          <t>Richard Watson Stephen Amudha</t>
        </is>
      </c>
      <c r="F48" s="9" t="inlineStr">
        <is>
          <t>Closed</t>
        </is>
      </c>
      <c r="G48" s="5" t="inlineStr">
        <is>
          <t>2026-10-06</t>
        </is>
      </c>
      <c r="H48" s="5" t="inlineStr">
        <is>
          <t>2026-10-06</t>
        </is>
      </c>
      <c r="I48" s="5" t="inlineStr">
        <is>
          <t>Externally verified 401</t>
        </is>
      </c>
      <c r="J48" s="5" t="inlineStr">
        <is>
          <t>#29</t>
        </is>
      </c>
      <c r="K48" s="5" t="n">
        <v>1</v>
      </c>
      <c r="L48" s="5" t="inlineStr">
        <is>
          <t>v1.4.0</t>
        </is>
      </c>
    </row>
    <row r="49">
      <c r="A49" s="5" t="inlineStr">
        <is>
          <t>AC-10</t>
        </is>
      </c>
      <c r="B49" s="5" t="inlineStr">
        <is>
          <t>RV-2026-06</t>
        </is>
      </c>
      <c r="C49" s="5" t="inlineStr">
        <is>
          <t>P-2026-5</t>
        </is>
      </c>
      <c r="D49" s="5" t="inlineStr">
        <is>
          <t>Correct the audit pack and registers against the running system</t>
        </is>
      </c>
      <c r="E49" s="5" t="inlineStr">
        <is>
          <t>Richard Watson Stephen Amudha</t>
        </is>
      </c>
      <c r="F49" s="9" t="inlineStr">
        <is>
          <t>Closed</t>
        </is>
      </c>
      <c r="G49" s="5" t="inlineStr">
        <is>
          <t>2026-10-06</t>
        </is>
      </c>
      <c r="H49" s="5" t="inlineStr">
        <is>
          <t>2026-10-06</t>
        </is>
      </c>
      <c r="I49" s="5" t="inlineStr">
        <is>
          <t>855bd80, 1d7f154</t>
        </is>
      </c>
      <c r="J49" s="5" t="inlineStr">
        <is>
          <t>#40</t>
        </is>
      </c>
      <c r="K49" s="5" t="n">
        <v>1</v>
      </c>
      <c r="L49" s="5" t="inlineStr">
        <is>
          <t>v1.4.0</t>
        </is>
      </c>
    </row>
    <row r="50">
      <c r="A50" s="5" t="inlineStr">
        <is>
          <t>AC-11</t>
        </is>
      </c>
      <c r="B50" s="5" t="inlineStr">
        <is>
          <t>RV-2026-07</t>
        </is>
      </c>
      <c r="C50" s="5" t="inlineStr">
        <is>
          <t>P-2026-5</t>
        </is>
      </c>
      <c r="D50" s="5" t="inlineStr">
        <is>
          <t>Logout revokes tokens; upload allow-list; small-talk routing; export key formats</t>
        </is>
      </c>
      <c r="E50" s="5" t="inlineStr">
        <is>
          <t>Richard Watson Stephen Amudha</t>
        </is>
      </c>
      <c r="F50" s="9" t="inlineStr">
        <is>
          <t>Closed</t>
        </is>
      </c>
      <c r="G50" s="5" t="inlineStr">
        <is>
          <t>2026-10-06</t>
        </is>
      </c>
      <c r="H50" s="5" t="inlineStr">
        <is>
          <t>2026-10-06</t>
        </is>
      </c>
      <c r="I50" s="5" t="inlineStr">
        <is>
          <t>e0ed4d0 + 14 regression tests; run 4 pass</t>
        </is>
      </c>
      <c r="J50" s="5" t="inlineStr">
        <is>
          <t>#32–#35</t>
        </is>
      </c>
      <c r="K50" s="5" t="n">
        <v>1</v>
      </c>
      <c r="L50" s="5" t="inlineStr">
        <is>
          <t>v1.4.1</t>
        </is>
      </c>
    </row>
    <row r="51">
      <c r="A51" s="5" t="inlineStr">
        <is>
          <t>AC-12</t>
        </is>
      </c>
      <c r="B51" s="5" t="inlineStr">
        <is>
          <t>RV-2026-07</t>
        </is>
      </c>
      <c r="C51" s="5" t="inlineStr">
        <is>
          <t>P-2026-5</t>
        </is>
      </c>
      <c r="D51" s="5" t="inlineStr">
        <is>
          <t>Activity log identifies the caller before logout revokes the token</t>
        </is>
      </c>
      <c r="E51" s="5" t="inlineStr">
        <is>
          <t>Richard Watson Stephen Amudha</t>
        </is>
      </c>
      <c r="F51" s="9" t="inlineStr">
        <is>
          <t>Closed</t>
        </is>
      </c>
      <c r="G51" s="5" t="inlineStr">
        <is>
          <t>2026-10-06</t>
        </is>
      </c>
      <c r="H51" s="5" t="inlineStr">
        <is>
          <t>2026-10-06</t>
        </is>
      </c>
      <c r="I51" s="5" t="inlineStr">
        <is>
          <t>3feb5db; run 4 AC-101.8 pass</t>
        </is>
      </c>
      <c r="J51" s="5" t="inlineStr">
        <is>
          <t>#32</t>
        </is>
      </c>
      <c r="K51" s="5" t="n">
        <v>1</v>
      </c>
      <c r="L51" s="5" t="inlineStr">
        <is>
          <t>v1.4.1</t>
        </is>
      </c>
    </row>
    <row r="52">
      <c r="A52" s="5" t="inlineStr">
        <is>
          <t>AC-13</t>
        </is>
      </c>
      <c r="B52" s="5" t="inlineStr">
        <is>
          <t>RV-2026-07</t>
        </is>
      </c>
      <c r="C52" s="5" t="inlineStr">
        <is>
          <t>P-2026-5</t>
        </is>
      </c>
      <c r="D52" s="5" t="inlineStr">
        <is>
          <t>Embedding service on CPU; healthcheck makes a real embedding</t>
        </is>
      </c>
      <c r="E52" s="5" t="inlineStr">
        <is>
          <t>Richard Watson Stephen Amudha</t>
        </is>
      </c>
      <c r="F52" s="9" t="inlineStr">
        <is>
          <t>Closed</t>
        </is>
      </c>
      <c r="G52" s="5" t="inlineStr">
        <is>
          <t>2026-10-07</t>
        </is>
      </c>
      <c r="H52" s="5" t="inlineStr">
        <is>
          <t>2026-10-07</t>
        </is>
      </c>
      <c r="I52" s="5" t="inlineStr">
        <is>
          <t>DC-2026-005; f3aca50</t>
        </is>
      </c>
      <c r="J52" s="5" t="inlineStr">
        <is>
          <t>#59</t>
        </is>
      </c>
      <c r="K52" s="5" t="n">
        <v>1</v>
      </c>
      <c r="L52" s="5" t="inlineStr">
        <is>
          <t>v1.4.1</t>
        </is>
      </c>
    </row>
    <row r="53">
      <c r="A53" s="5" t="inlineStr">
        <is>
          <t>AC-14</t>
        </is>
      </c>
      <c r="B53" s="5" t="inlineStr">
        <is>
          <t>RV-2026-07</t>
        </is>
      </c>
      <c r="C53" s="5" t="inlineStr">
        <is>
          <t>P-2026-5</t>
        </is>
      </c>
      <c r="D53" s="5" t="inlineStr">
        <is>
          <t>Decide the GPU-sharing policy for the host</t>
        </is>
      </c>
      <c r="E53" s="5" t="inlineStr">
        <is>
          <t>Anita Johan</t>
        </is>
      </c>
      <c r="F53" s="11" t="inlineStr">
        <is>
          <t>Open</t>
        </is>
      </c>
      <c r="G53" s="5" t="inlineStr">
        <is>
          <t>2026-10-31</t>
        </is>
      </c>
      <c r="H53" s="5" t="inlineStr"/>
      <c r="I53" s="5" t="inlineStr">
        <is>
          <t>—</t>
        </is>
      </c>
      <c r="J53" s="5" t="inlineStr">
        <is>
          <t>#60</t>
        </is>
      </c>
      <c r="K53" s="5" t="n">
        <v>1</v>
      </c>
      <c r="L53" s="5" t="inlineStr">
        <is>
          <t>v1.4.1</t>
        </is>
      </c>
    </row>
    <row r="54">
      <c r="A54" s="5" t="inlineStr">
        <is>
          <t>AC-15</t>
        </is>
      </c>
      <c r="B54" s="5" t="inlineStr">
        <is>
          <t>RV-2026-07</t>
        </is>
      </c>
      <c r="C54" s="5" t="inlineStr">
        <is>
          <t>P-2026-5</t>
        </is>
      </c>
      <c r="D54" s="5" t="inlineStr">
        <is>
          <t>Sign the v1.4.0 and v1.4.1 release records</t>
        </is>
      </c>
      <c r="E54" s="5" t="inlineStr">
        <is>
          <t>Anita Johan</t>
        </is>
      </c>
      <c r="F54" s="11" t="inlineStr">
        <is>
          <t>Open</t>
        </is>
      </c>
      <c r="G54" s="5" t="inlineStr">
        <is>
          <t>2026-10-13</t>
        </is>
      </c>
      <c r="H54" s="5" t="inlineStr"/>
      <c r="I54" s="5" t="inlineStr">
        <is>
          <t>—</t>
        </is>
      </c>
      <c r="J54" s="5" t="inlineStr">
        <is>
          <t>#61</t>
        </is>
      </c>
      <c r="K54" s="5" t="n">
        <v>1</v>
      </c>
      <c r="L54" s="5" t="inlineStr">
        <is>
          <t>v1.4.1</t>
        </is>
      </c>
    </row>
    <row r="55">
      <c r="A55" s="5" t="inlineStr">
        <is>
          <t>AC-16</t>
        </is>
      </c>
      <c r="B55" s="5" t="inlineStr">
        <is>
          <t>RV-2026-08</t>
        </is>
      </c>
      <c r="C55" s="5" t="inlineStr">
        <is>
          <t>P-2026-5</t>
        </is>
      </c>
      <c r="D55" s="5" t="inlineStr">
        <is>
          <t>External login check every 6 hours</t>
        </is>
      </c>
      <c r="E55" s="5" t="inlineStr">
        <is>
          <t>Richard Watson Stephen Amudha</t>
        </is>
      </c>
      <c r="F55" s="9" t="inlineStr">
        <is>
          <t>Closed</t>
        </is>
      </c>
      <c r="G55" s="5" t="inlineStr">
        <is>
          <t>2026-10-07</t>
        </is>
      </c>
      <c r="H55" s="5" t="inlineStr">
        <is>
          <t>2026-10-07</t>
        </is>
      </c>
      <c r="I55" s="5" t="inlineStr">
        <is>
          <t>run 37561803121</t>
        </is>
      </c>
      <c r="J55" s="5" t="inlineStr">
        <is>
          <t>#51</t>
        </is>
      </c>
      <c r="K55" s="5" t="n">
        <v>1</v>
      </c>
      <c r="L55" s="5" t="inlineStr">
        <is>
          <t>v1.4.1</t>
        </is>
      </c>
    </row>
    <row r="56">
      <c r="A56" s="5" t="inlineStr">
        <is>
          <t>AC-17</t>
        </is>
      </c>
      <c r="B56" s="5" t="inlineStr">
        <is>
          <t>RV-2026-08</t>
        </is>
      </c>
      <c r="C56" s="5" t="inlineStr">
        <is>
          <t>P-2026-5</t>
        </is>
      </c>
      <c r="D56" s="5" t="inlineStr">
        <is>
          <t>Record runtime-setting changes (SOP-06 §10.1, drift check)</t>
        </is>
      </c>
      <c r="E56" s="5" t="inlineStr">
        <is>
          <t>Richard Watson Stephen Amudha</t>
        </is>
      </c>
      <c r="F56" s="9" t="inlineStr">
        <is>
          <t>Closed</t>
        </is>
      </c>
      <c r="G56" s="5" t="inlineStr">
        <is>
          <t>2026-10-07</t>
        </is>
      </c>
      <c r="H56" s="5" t="inlineStr">
        <is>
          <t>2026-10-07</t>
        </is>
      </c>
      <c r="I56" s="5" t="inlineStr">
        <is>
          <t>f3aca50</t>
        </is>
      </c>
      <c r="J56" s="5" t="inlineStr">
        <is>
          <t>#52</t>
        </is>
      </c>
      <c r="K56" s="5" t="n">
        <v>1</v>
      </c>
      <c r="L56" s="5" t="inlineStr">
        <is>
          <t>v1.4.1</t>
        </is>
      </c>
    </row>
    <row r="57">
      <c r="A57" s="5" t="inlineStr">
        <is>
          <t>AC-18</t>
        </is>
      </c>
      <c r="B57" s="5" t="inlineStr">
        <is>
          <t>RV-2026-08</t>
        </is>
      </c>
      <c r="C57" s="5" t="inlineStr">
        <is>
          <t>P-2026-5</t>
        </is>
      </c>
      <c r="D57" s="5" t="inlineStr">
        <is>
          <t>Confirm the 2026-08-07 / 08-16 / 09-15 knowledge-base operations were internal; check Cloudflare analytics</t>
        </is>
      </c>
      <c r="E57" s="5" t="inlineStr">
        <is>
          <t>Kishan Haravu Pradeep</t>
        </is>
      </c>
      <c r="F57" s="11" t="inlineStr">
        <is>
          <t>Open</t>
        </is>
      </c>
      <c r="G57" s="5" t="inlineStr">
        <is>
          <t>2026-10-13</t>
        </is>
      </c>
      <c r="H57" s="5" t="inlineStr"/>
      <c r="I57" s="5" t="inlineStr">
        <is>
          <t>—</t>
        </is>
      </c>
      <c r="J57" s="5" t="inlineStr">
        <is>
          <t>#53 follow-up</t>
        </is>
      </c>
      <c r="K57" s="5" t="n">
        <v>1</v>
      </c>
      <c r="L57" s="5" t="inlineStr">
        <is>
          <t>v1.4.1</t>
        </is>
      </c>
    </row>
    <row r="58">
      <c r="A58" s="5" t="inlineStr">
        <is>
          <t>AC-19</t>
        </is>
      </c>
      <c r="B58" s="5" t="inlineStr">
        <is>
          <t>RV-2026-08</t>
        </is>
      </c>
      <c r="C58" s="5" t="inlineStr">
        <is>
          <t>P-2026-5</t>
        </is>
      </c>
      <c r="D58" s="5" t="inlineStr">
        <is>
          <t>Record the real client address (CF-Connecting-IP) in the activity log; retain proxy logs</t>
        </is>
      </c>
      <c r="E58" s="5" t="inlineStr">
        <is>
          <t>Richard Watson Stephen Amudha</t>
        </is>
      </c>
      <c r="F58" s="11" t="inlineStr">
        <is>
          <t>Open</t>
        </is>
      </c>
      <c r="G58" s="5" t="inlineStr">
        <is>
          <t>2026-10-31</t>
        </is>
      </c>
      <c r="H58" s="5" t="inlineStr"/>
      <c r="I58" s="5" t="inlineStr">
        <is>
          <t>—</t>
        </is>
      </c>
      <c r="J58" s="5" t="inlineStr">
        <is>
          <t>—</t>
        </is>
      </c>
      <c r="K58" s="5" t="n">
        <v>1</v>
      </c>
      <c r="L58" s="5" t="inlineStr">
        <is>
          <t>v1.4.1</t>
        </is>
      </c>
    </row>
  </sheetData>
  <autoFilter ref="A4:L58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>
      <c r="A1" s="6" t="inlineStr">
        <is>
          <t>Summary — live formulas</t>
        </is>
      </c>
    </row>
    <row r="4">
      <c r="A4" s="8" t="inlineStr">
        <is>
          <t>Group</t>
        </is>
      </c>
      <c r="B4" s="8" t="inlineStr">
        <is>
          <t>Reviews</t>
        </is>
      </c>
      <c r="C4" s="8" t="inlineStr">
        <is>
          <t>Actions raised</t>
        </is>
      </c>
      <c r="D4" s="8" t="inlineStr">
        <is>
          <t>Actions closed</t>
        </is>
      </c>
    </row>
    <row r="5">
      <c r="A5" s="5" t="inlineStr">
        <is>
          <t>2025 reviews</t>
        </is>
      </c>
      <c r="B5" s="5">
        <f>COUNTIF('Review log'!$A:$A,"DR-2025*")</f>
        <v/>
      </c>
      <c r="C5" s="5">
        <f>SUMPRODUCT((LEFT('Action log'!$B$5:$B$58,7)="DR-2025")*'Action log'!$K$5:$K$58)</f>
        <v/>
      </c>
      <c r="D5" s="5">
        <f>SUMPRODUCT((LEFT('Action log'!$B$5:$B$58,7)="DR-2025")*(LEFT('Action log'!$F$5:$F$58,6)="Closed")*'Action log'!$K$5:$K$58)</f>
        <v/>
      </c>
    </row>
    <row r="6">
      <c r="A6" s="5" t="inlineStr">
        <is>
          <t>2026 client and design reviews</t>
        </is>
      </c>
      <c r="B6" s="5">
        <f>COUNTIF('Review log'!$A:$A,"CR-2026*")</f>
        <v/>
      </c>
      <c r="C6" s="5">
        <f>SUMPRODUCT((LEFT('Action log'!$B$5:$B$58,7)="CR-2026")*'Action log'!$K$5:$K$58)</f>
        <v/>
      </c>
      <c r="D6" s="5">
        <f>SUMPRODUCT((LEFT('Action log'!$B$5:$B$58,7)="CR-2026")*(LEFT('Action log'!$F$5:$F$58,6)="Closed")*'Action log'!$K$5:$K$58)</f>
        <v/>
      </c>
    </row>
    <row r="7">
      <c r="A7" s="5" t="inlineStr">
        <is>
          <t>2026 code audit</t>
        </is>
      </c>
      <c r="B7" s="5">
        <f>COUNTIF('Review log'!$A:$A,"SR-2026*")</f>
        <v/>
      </c>
      <c r="C7" s="5">
        <f>SUMPRODUCT((LEFT('Action log'!$B$5:$B$58,7)="SR-2026")*'Action log'!$K$5:$K$58)</f>
        <v/>
      </c>
      <c r="D7" s="5">
        <f>SUMPRODUCT((LEFT('Action log'!$B$5:$B$58,7)="SR-2026")*(LEFT('Action log'!$F$5:$F$58,6)="Closed")*'Action log'!$K$5:$K$58)</f>
        <v/>
      </c>
    </row>
    <row r="8">
      <c r="A8" s="5" t="inlineStr">
        <is>
          <t>2026 engineering and quality reviews</t>
        </is>
      </c>
      <c r="B8" s="5">
        <f>COUNTIF('Review log'!$A:$A,"RV-2026*")</f>
        <v/>
      </c>
      <c r="C8" s="5">
        <f>SUMPRODUCT((LEFT('Action log'!$B$5:$B$58,7)="RV-2026")*'Action log'!$K$5:$K$58)</f>
        <v/>
      </c>
      <c r="D8" s="5">
        <f>SUMPRODUCT((LEFT('Action log'!$B$5:$B$58,7)="RV-2026")*(LEFT('Action log'!$F$5:$F$58,6)="Closed")*'Action log'!$K$5:$K$58)</f>
        <v/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</row>
    <row r="12">
      <c r="A12" s="8" t="inlineStr">
        <is>
          <t>Review source</t>
        </is>
      </c>
      <c r="B12" s="8" t="inlineStr">
        <is>
          <t>Reviews</t>
        </is>
      </c>
    </row>
    <row r="13">
      <c r="A13" s="5" t="inlineStr">
        <is>
          <t>Client</t>
        </is>
      </c>
      <c r="B13" s="5">
        <f>COUNTIF('Review log'!$G:$G,"Client")</f>
        <v/>
      </c>
    </row>
    <row r="14">
      <c r="A14" s="5" t="inlineStr">
        <is>
          <t>Internal</t>
        </is>
      </c>
      <c r="B14" s="5">
        <f>COUNTIF('Review log'!$G:$G,"Internal")</f>
        <v/>
      </c>
    </row>
    <row r="15">
      <c r="A15" s="5" t="inlineStr">
        <is>
          <t>Internal audit</t>
        </is>
      </c>
      <c r="B15" s="5">
        <f>COUNTIF('Review log'!$G:$G,"Internal audit")</f>
        <v/>
      </c>
    </row>
    <row r="16">
      <c r="A16" s="5" t="inlineStr">
        <is>
          <t>External audit</t>
        </is>
      </c>
      <c r="B16" s="5">
        <f>COUNTIF('Review log'!$G:$G,"External audit")</f>
        <v/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2026-10-13T00:25:39Z</dcterms:created>
  <dcterms:modified xmlns:dcterms="http://purl.org/dc/terms/" xmlns:xsi="http://www.w3.org/2001/XMLSchema-instance" xsi:type="dcterms:W3CDTF">2026-10-13T00:25:39Z</dcterms:modified>
</cp:coreProperties>
</file>