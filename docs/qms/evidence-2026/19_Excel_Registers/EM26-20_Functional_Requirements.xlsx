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FR register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Requirement chang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'FR register'!$A$4:$M$43</definedName>
    <definedName name="_xlnm._FilterDatabase" localSheetId="2" hidden="1">'Traceability'!$A$4:$H$43</definedName>
    <definedName name="_xlnm._FilterDatabase" localSheetId="3" hidden="1">'Requirement changes'!$A$4:$G$12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EM26-20 — Functional Requirements Register (2025 → 2026)</t>
        </is>
      </c>
      <c r="B1" s="2" t="n"/>
      <c r="C1" s="2" t="n"/>
      <c r="D1" s="2" t="n"/>
    </row>
    <row r="2">
      <c r="A2" s="3" t="inlineStr">
        <is>
          <t>AJACE Inc. · EchoMind Product · ISO 9001:2015 evidence · Controlled in docs/qms (git); uncontrolled when printed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Field</t>
        </is>
      </c>
      <c r="B4" s="4" t="inlineStr">
        <is>
          <t>Entry</t>
        </is>
      </c>
      <c r="C4" s="2" t="n"/>
      <c r="D4" s="2" t="n"/>
    </row>
    <row r="5">
      <c r="A5" s="5" t="inlineStr">
        <is>
          <t>Document ID</t>
        </is>
      </c>
      <c r="B5" s="5" t="inlineStr">
        <is>
          <t>EM26-20</t>
        </is>
      </c>
      <c r="C5" s="2" t="n"/>
      <c r="D5" s="2" t="n"/>
    </row>
    <row r="6">
      <c r="A6" s="5" t="inlineStr">
        <is>
          <t>Title</t>
        </is>
      </c>
      <c r="B6" s="5" t="inlineStr">
        <is>
          <t>Functional Requirements Register (2025 → 2026)</t>
        </is>
      </c>
      <c r="C6" s="2" t="n"/>
      <c r="D6" s="2" t="n"/>
    </row>
    <row r="7">
      <c r="A7" s="5" t="inlineStr">
        <is>
          <t>Version</t>
        </is>
      </c>
      <c r="B7" s="5" t="inlineStr">
        <is>
          <t>1.1</t>
        </is>
      </c>
      <c r="C7" s="2" t="n"/>
      <c r="D7" s="2" t="n"/>
    </row>
    <row r="8">
      <c r="A8" s="5" t="inlineStr">
        <is>
          <t>Date</t>
        </is>
      </c>
      <c r="B8" s="5" t="inlineStr">
        <is>
          <t>2026-10-12</t>
        </is>
      </c>
      <c r="C8" s="2" t="n"/>
      <c r="D8" s="2" t="n"/>
    </row>
    <row r="9">
      <c r="A9" s="5" t="inlineStr">
        <is>
          <t>Organisation</t>
        </is>
      </c>
      <c r="B9" s="5" t="inlineStr">
        <is>
          <t>AJACE Inc. — 14159 Robert Paris Ct., Suite A, Chantilly, VA 20151, USA</t>
        </is>
      </c>
      <c r="C9" s="2" t="n"/>
      <c r="D9" s="2" t="n"/>
    </row>
    <row r="10">
      <c r="A10" s="5" t="inlineStr">
        <is>
          <t>Area / project</t>
        </is>
      </c>
      <c r="B10" s="5" t="inlineStr">
        <is>
          <t>EchoMind Product — EchoMind (2025 pilot appliance) and EchoMind Enterprise (2026, repository RW2523/echomind-enterprise)</t>
        </is>
      </c>
      <c r="C10" s="2" t="n"/>
      <c r="D10" s="2" t="n"/>
    </row>
    <row r="11">
      <c r="A11" s="5" t="inlineStr">
        <is>
          <t>Status</t>
        </is>
      </c>
      <c r="B11" s="5" t="inlineStr">
        <is>
          <t>APPROVED — rev 1.1 2026-10-12 (AR-2026-004); rev 1.0 2026-10-12 (AR-2026-003)</t>
        </is>
      </c>
      <c r="C11" s="2" t="n"/>
      <c r="D11" s="2" t="n"/>
    </row>
    <row r="12">
      <c r="A12" s="5" t="inlineStr">
        <is>
          <t>Purpose</t>
        </is>
      </c>
      <c r="B12" s="5" t="inlineStr">
        <is>
          <t>The functional requirements of EchoMind — the 2025 appliance baseline and the 2026 EchoMind Enterprise requirements — with their source, the review that raised them, when they were delivered (commit), how they were verified and in which release.</t>
        </is>
      </c>
      <c r="C12" s="2" t="n"/>
      <c r="D12" s="2" t="n"/>
    </row>
    <row r="13">
      <c r="A13" s="5" t="inlineStr">
        <is>
          <t>Sources</t>
        </is>
      </c>
      <c r="B13" s="5" t="inlineStr">
        <is>
          <t>2025 SOW and test cases; 2026 client and design reviews (EM26-19); git history; acceptance test run 4 (2026-10-06); CAPABILITIES.md.</t>
        </is>
      </c>
      <c r="C13" s="2" t="n"/>
      <c r="D13" s="2" t="n"/>
    </row>
    <row r="14">
      <c r="A14" s="5" t="inlineStr">
        <is>
          <t>Copy</t>
        </is>
      </c>
      <c r="B14" s="5" t="inlineStr">
        <is>
          <t>PUBLIC COPY — clients shown as Client A–D; the controlled copy given to the auditor carries the names</t>
        </is>
      </c>
      <c r="C14" s="2" t="n"/>
      <c r="D14" s="2" t="n"/>
    </row>
    <row r="15">
      <c r="A15" s="5" t="inlineStr">
        <is>
          <t>Dating rule</t>
        </is>
      </c>
      <c r="B15" s="5" t="inlineStr">
        <is>
          <t>Every date comes from a record: a 2025 minute or review document, a git commit, a register entry or a test run. Where a remembered month and the commit record differed, the commit date is used. Nothing is back-dated.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Sheet</t>
        </is>
      </c>
      <c r="B17" s="4" t="inlineStr">
        <is>
          <t>What it holds</t>
        </is>
      </c>
      <c r="C17" s="2" t="n"/>
      <c r="D17" s="2" t="n"/>
    </row>
    <row r="18">
      <c r="A18" s="5" t="inlineStr">
        <is>
          <t>FR register</t>
        </is>
      </c>
      <c r="B18" s="5" t="inlineStr">
        <is>
          <t>Every functional requirement with source, priority, status, delivery, first version and verification</t>
        </is>
      </c>
      <c r="C18" s="2" t="n"/>
      <c r="D18" s="2" t="n"/>
    </row>
    <row r="19">
      <c r="A19" s="5" t="inlineStr">
        <is>
          <t>Traceability</t>
        </is>
      </c>
      <c r="B19" s="5" t="inlineStr">
        <is>
          <t>Requirement → review → delivery commit → version → test → release</t>
        </is>
      </c>
      <c r="C19" s="2" t="n"/>
      <c r="D19" s="2" t="n"/>
    </row>
    <row r="20">
      <c r="A20" s="5" t="inlineStr">
        <is>
          <t>Requirement changes</t>
        </is>
      </c>
      <c r="B20" s="5" t="inlineStr">
        <is>
          <t>Changes to requirements and why (ISO 9001 8.2.4)</t>
        </is>
      </c>
      <c r="C20" s="2" t="n"/>
      <c r="D20" s="2" t="n"/>
    </row>
    <row r="21">
      <c r="A21" s="5" t="inlineStr">
        <is>
          <t>Summary</t>
        </is>
      </c>
      <c r="B21" s="5" t="inlineStr">
        <is>
          <t>Counts by module and status (live formulas)</t>
        </is>
      </c>
      <c r="C21" s="2" t="n"/>
      <c r="D21" s="2" t="n"/>
    </row>
    <row r="22">
      <c r="A22" s="2" t="n"/>
      <c r="B22" s="2" t="n"/>
      <c r="C22" s="2" t="n"/>
      <c r="D22" s="2" t="n"/>
    </row>
    <row r="23">
      <c r="A23" s="4" t="inlineStr">
        <is>
          <t>Role</t>
        </is>
      </c>
      <c r="B23" s="4" t="inlineStr">
        <is>
          <t>Name</t>
        </is>
      </c>
      <c r="C23" s="4" t="inlineStr">
        <is>
          <t>Signature</t>
        </is>
      </c>
      <c r="D23" s="4" t="inlineStr">
        <is>
          <t>Date</t>
        </is>
      </c>
    </row>
    <row r="24">
      <c r="A24" s="5" t="inlineStr">
        <is>
          <t>Prepared by — Lead Engineer</t>
        </is>
      </c>
      <c r="B24" s="5" t="inlineStr">
        <is>
          <t>Richard Watson Stephen Amudha</t>
        </is>
      </c>
      <c r="C24" s="5" t="inlineStr">
        <is>
          <t>Richard Watson Stephen Amudha</t>
        </is>
      </c>
      <c r="D24" s="5" t="inlineStr">
        <is>
          <t>2026-10-12</t>
        </is>
      </c>
    </row>
    <row r="25">
      <c r="A25" s="5" t="inlineStr">
        <is>
          <t>Reviewed by — EchoMind Project Lead</t>
        </is>
      </c>
      <c r="B25" s="5" t="inlineStr">
        <is>
          <t>Alexander Peter</t>
        </is>
      </c>
      <c r="C25" s="5" t="inlineStr">
        <is>
          <t>Alexander Peter</t>
        </is>
      </c>
      <c r="D25" s="5" t="inlineStr">
        <is>
          <t>2026-10-12</t>
        </is>
      </c>
    </row>
    <row r="26">
      <c r="A26" s="5" t="inlineStr">
        <is>
          <t>Quality assurance — QA / MR</t>
        </is>
      </c>
      <c r="B26" s="5" t="inlineStr">
        <is>
          <t>Sheryl Nazareth</t>
        </is>
      </c>
      <c r="C26" s="5" t="inlineStr">
        <is>
          <t>Sheryl Nazareth</t>
        </is>
      </c>
      <c r="D26" s="5" t="inlineStr">
        <is>
          <t>2026-10-12</t>
        </is>
      </c>
    </row>
    <row r="27">
      <c r="A27" s="5" t="inlineStr">
        <is>
          <t>Approved by — Managing Director</t>
        </is>
      </c>
      <c r="B27" s="5" t="inlineStr">
        <is>
          <t>Anita Johan</t>
        </is>
      </c>
      <c r="C27" s="5" t="inlineStr">
        <is>
          <t>Anita Johan</t>
        </is>
      </c>
      <c r="D27" s="5" t="inlineStr">
        <is>
          <t>2026-10-12</t>
        </is>
      </c>
    </row>
    <row r="28">
      <c r="A28" s="2" t="n"/>
      <c r="B28" s="2" t="n"/>
      <c r="C28" s="2" t="n"/>
      <c r="D28" s="2" t="n"/>
    </row>
    <row r="29">
      <c r="A29" s="4" t="inlineStr">
        <is>
          <t>Approval record</t>
        </is>
      </c>
      <c r="B29" s="2" t="n"/>
      <c r="C29" s="2" t="n"/>
      <c r="D29" s="2" t="n"/>
    </row>
    <row r="30">
      <c r="A30" s="5" t="inlineStr">
        <is>
          <t>Rev 1.1: docs/qms/records/approvals/2026-10-12_AR-2026-004_register_revision_approval.md; rev 1.0: …/2026-10-12_AR-2026-003_register_approval.md. Review and approval confirmed by each role holder; signatures are their typed names (SOP-01 §6).</t>
        </is>
      </c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4" t="inlineStr">
        <is>
          <t>Date</t>
        </is>
      </c>
      <c r="B32" s="4" t="inlineStr">
        <is>
          <t>Version</t>
        </is>
      </c>
      <c r="C32" s="4" t="inlineStr">
        <is>
          <t>Owner</t>
        </is>
      </c>
      <c r="D32" s="4" t="inlineStr">
        <is>
          <t>Change</t>
        </is>
      </c>
    </row>
    <row r="33">
      <c r="A33" s="5" t="inlineStr">
        <is>
          <t>2026-10-11</t>
        </is>
      </c>
      <c r="B33" s="5" t="inlineStr">
        <is>
          <t>1.0</t>
        </is>
      </c>
      <c r="C33" s="5" t="inlineStr">
        <is>
          <t>Richard Watson Stephen Amudha (Lead Engineer)</t>
        </is>
      </c>
      <c r="D33" s="5" t="inlineStr">
        <is>
          <t>First issue</t>
        </is>
      </c>
    </row>
    <row r="34">
      <c r="A34" s="5" t="inlineStr">
        <is>
          <t>2026-10-12</t>
        </is>
      </c>
      <c r="B34" s="5" t="inlineStr">
        <is>
          <t>1.0</t>
        </is>
      </c>
      <c r="C34" s="5" t="inlineStr">
        <is>
          <t>Anita Johan (Managing Director)</t>
        </is>
      </c>
      <c r="D34" s="5" t="inlineStr">
        <is>
          <t>Approved — AR-2026-003</t>
        </is>
      </c>
    </row>
    <row r="35">
      <c r="A35" s="5" t="inlineStr">
        <is>
          <t>2026-10-12</t>
        </is>
      </c>
      <c r="B35" s="5" t="inlineStr">
        <is>
          <t>1.1</t>
        </is>
      </c>
      <c r="C35" s="5" t="inlineStr">
        <is>
          <t>Richard Watson Stephen Amudha (Lead Engineer)</t>
        </is>
      </c>
      <c r="D35" s="5" t="inlineStr">
        <is>
          <t>Versions v1.0.0–v1.4.1 added (v1.0.0–v1.3.0 retrospective baselines, REG-08 §2a); version reviews</t>
        </is>
      </c>
    </row>
    <row r="36">
      <c r="A36" s="5" t="inlineStr">
        <is>
          <t>2026-10-12</t>
        </is>
      </c>
      <c r="B36" s="5" t="inlineStr">
        <is>
          <t>1.1</t>
        </is>
      </c>
      <c r="C36" s="5" t="inlineStr">
        <is>
          <t>Anita Johan (Managing Director)</t>
        </is>
      </c>
      <c r="D36" s="5" t="inlineStr">
        <is>
          <t>Approved — AR-2026-004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4" customWidth="1" min="3" max="3"/>
    <col width="30" customWidth="1" min="4" max="4"/>
    <col width="11" customWidth="1" min="5" max="5"/>
    <col width="12" customWidth="1" min="6" max="6"/>
    <col width="9" customWidth="1" min="7" max="7"/>
    <col width="14" customWidth="1" min="8" max="8"/>
    <col width="30" customWidth="1" min="9" max="9"/>
    <col width="13" customWidth="1" min="10" max="10"/>
    <col width="36" customWidth="1" min="11" max="11"/>
    <col width="40" customWidth="1" min="12" max="12"/>
    <col width="13" customWidth="1" min="13" max="13"/>
  </cols>
  <sheetData>
    <row r="1">
      <c r="A1" s="6" t="inlineStr">
        <is>
          <t>Functional requirements — 2025 baseline and 2026</t>
        </is>
      </c>
    </row>
    <row r="2">
      <c r="A2" s="7" t="inlineStr">
        <is>
          <t>Priority: Must / Should / Could. ‘First version’ is the version (REG-08) that first contained the requirement; ‘Verified in’ the release whose tests verified it.</t>
        </is>
      </c>
    </row>
    <row r="4">
      <c r="A4" s="8" t="inlineStr">
        <is>
          <t>FR ID</t>
        </is>
      </c>
      <c r="B4" s="8" t="inlineStr">
        <is>
          <t>Module</t>
        </is>
      </c>
      <c r="C4" s="8" t="inlineStr">
        <is>
          <t>Requirement</t>
        </is>
      </c>
      <c r="D4" s="8" t="inlineStr">
        <is>
          <t>Source</t>
        </is>
      </c>
      <c r="E4" s="8" t="inlineStr">
        <is>
          <t>Raised</t>
        </is>
      </c>
      <c r="F4" s="8" t="inlineStr">
        <is>
          <t>Raised in review</t>
        </is>
      </c>
      <c r="G4" s="8" t="inlineStr">
        <is>
          <t>Priority</t>
        </is>
      </c>
      <c r="H4" s="8" t="inlineStr">
        <is>
          <t>Status</t>
        </is>
      </c>
      <c r="I4" s="8" t="inlineStr">
        <is>
          <t>First delivered (commit)</t>
        </is>
      </c>
      <c r="J4" s="8" t="inlineStr">
        <is>
          <t>First version</t>
        </is>
      </c>
      <c r="K4" s="8" t="inlineStr">
        <is>
          <t>Current implementation</t>
        </is>
      </c>
      <c r="L4" s="8" t="inlineStr">
        <is>
          <t>Verified by</t>
        </is>
      </c>
      <c r="M4" s="8" t="inlineStr">
        <is>
          <t>Verified in</t>
        </is>
      </c>
    </row>
    <row r="5">
      <c r="A5" s="5" t="inlineStr">
        <is>
          <t>FR-2025-01</t>
        </is>
      </c>
      <c r="B5" s="5" t="inlineStr">
        <is>
          <t>2025 appliance</t>
        </is>
      </c>
      <c r="C5" s="5" t="inlineStr">
        <is>
          <t>Chat with a local LLM through a web interface</t>
        </is>
      </c>
      <c r="D5" s="5" t="inlineStr">
        <is>
          <t>SOW — 2025 university pilot customer</t>
        </is>
      </c>
      <c r="E5" s="5" t="inlineStr">
        <is>
          <t>2025-05-22</t>
        </is>
      </c>
      <c r="F5" s="5" t="inlineStr">
        <is>
          <t>DR-2025-03</t>
        </is>
      </c>
      <c r="G5" s="5" t="inlineStr">
        <is>
          <t>Must</t>
        </is>
      </c>
      <c r="H5" s="9" t="inlineStr">
        <is>
          <t>Delivered</t>
        </is>
      </c>
      <c r="I5" s="5" t="inlineStr">
        <is>
          <t>2025-09 (llama3.1:8b, Streamlit UI)</t>
        </is>
      </c>
      <c r="J5" s="5" t="inlineStr">
        <is>
          <t>2025 appliance</t>
        </is>
      </c>
      <c r="K5" s="5" t="inlineStr">
        <is>
          <t>Carried into FR-KC-02 / FR-KC-03</t>
        </is>
      </c>
      <c r="L5" s="5" t="inlineStr">
        <is>
          <t>2025 Test case 1 — UI loading and basic LLM query</t>
        </is>
      </c>
      <c r="M5" s="5" t="inlineStr">
        <is>
          <t>2025 appliance</t>
        </is>
      </c>
    </row>
    <row r="6">
      <c r="A6" s="5" t="inlineStr">
        <is>
          <t>FR-2025-02</t>
        </is>
      </c>
      <c r="B6" s="5" t="inlineStr">
        <is>
          <t>2025 appliance</t>
        </is>
      </c>
      <c r="C6" s="5" t="inlineStr">
        <is>
          <t>Real-time transcription with contextual questions over the transcript</t>
        </is>
      </c>
      <c r="D6" s="5" t="inlineStr">
        <is>
          <t>SOW — 2025 university pilot customer</t>
        </is>
      </c>
      <c r="E6" s="5" t="inlineStr">
        <is>
          <t>2025-05-22</t>
        </is>
      </c>
      <c r="F6" s="5" t="inlineStr">
        <is>
          <t>DR-2025-03</t>
        </is>
      </c>
      <c r="G6" s="5" t="inlineStr">
        <is>
          <t>Must</t>
        </is>
      </c>
      <c r="H6" s="9" t="inlineStr">
        <is>
          <t>Delivered</t>
        </is>
      </c>
      <c r="I6" s="5" t="inlineStr">
        <is>
          <t>2025-09</t>
        </is>
      </c>
      <c r="J6" s="5" t="inlineStr">
        <is>
          <t>2025 appliance</t>
        </is>
      </c>
      <c r="K6" s="5" t="inlineStr">
        <is>
          <t>Carried into FR-LT-01 / FR-LT-03</t>
        </is>
      </c>
      <c r="L6" s="5" t="inlineStr">
        <is>
          <t>2025 Test case 2; TC-EM-Transcribe-003</t>
        </is>
      </c>
      <c r="M6" s="5" t="inlineStr">
        <is>
          <t>2025 appliance</t>
        </is>
      </c>
    </row>
    <row r="7">
      <c r="A7" s="5" t="inlineStr">
        <is>
          <t>FR-2025-03</t>
        </is>
      </c>
      <c r="B7" s="5" t="inlineStr">
        <is>
          <t>2025 appliance</t>
        </is>
      </c>
      <c r="C7" s="5" t="inlineStr">
        <is>
          <t>Upload documents into the knowledge base, with an activity record</t>
        </is>
      </c>
      <c r="D7" s="5" t="inlineStr">
        <is>
          <t>SOW — 2025 university pilot customer</t>
        </is>
      </c>
      <c r="E7" s="5" t="inlineStr">
        <is>
          <t>2025-07-15</t>
        </is>
      </c>
      <c r="F7" s="5" t="inlineStr">
        <is>
          <t>DR-2025-07</t>
        </is>
      </c>
      <c r="G7" s="5" t="inlineStr">
        <is>
          <t>Must</t>
        </is>
      </c>
      <c r="H7" s="9" t="inlineStr">
        <is>
          <t>Delivered</t>
        </is>
      </c>
      <c r="I7" s="5" t="inlineStr">
        <is>
          <t>2025-09</t>
        </is>
      </c>
      <c r="J7" s="5" t="inlineStr">
        <is>
          <t>2025 appliance</t>
        </is>
      </c>
      <c r="K7" s="5" t="inlineStr">
        <is>
          <t>Carried into FR-KC-01</t>
        </is>
      </c>
      <c r="L7" s="5" t="inlineStr">
        <is>
          <t>TC-EM-UI-Upload-001</t>
        </is>
      </c>
      <c r="M7" s="5" t="inlineStr">
        <is>
          <t>2025 appliance</t>
        </is>
      </c>
    </row>
    <row r="8">
      <c r="A8" s="5" t="inlineStr">
        <is>
          <t>FR-2025-04</t>
        </is>
      </c>
      <c r="B8" s="5" t="inlineStr">
        <is>
          <t>2025 appliance</t>
        </is>
      </c>
      <c r="C8" s="5" t="inlineStr">
        <is>
          <t>Containerised service stack (api, ui, vectordb, transcribe, ollama), deployable on site</t>
        </is>
      </c>
      <c r="D8" s="5" t="inlineStr">
        <is>
          <t>SOW — 2025 university pilot customer</t>
        </is>
      </c>
      <c r="E8" s="5" t="inlineStr">
        <is>
          <t>2025-07-15</t>
        </is>
      </c>
      <c r="F8" s="5" t="inlineStr">
        <is>
          <t>DR-2025-07</t>
        </is>
      </c>
      <c r="G8" s="5" t="inlineStr">
        <is>
          <t>Must</t>
        </is>
      </c>
      <c r="H8" s="9" t="inlineStr">
        <is>
          <t>Delivered</t>
        </is>
      </c>
      <c r="I8" s="5" t="inlineStr">
        <is>
          <t>2025-09 (Portainer stacks)</t>
        </is>
      </c>
      <c r="J8" s="5" t="inlineStr">
        <is>
          <t>2025 appliance</t>
        </is>
      </c>
      <c r="K8" s="5" t="inlineStr">
        <is>
          <t>Carried into FR-PL-01 (Docker Compose)</t>
        </is>
      </c>
      <c r="L8" s="5" t="inlineStr">
        <is>
          <t>TC-EM-Stacks-002</t>
        </is>
      </c>
      <c r="M8" s="5" t="inlineStr">
        <is>
          <t>2025 appliance</t>
        </is>
      </c>
    </row>
    <row r="9">
      <c r="A9" s="5" t="inlineStr">
        <is>
          <t>FR-2025-05</t>
        </is>
      </c>
      <c r="B9" s="5" t="inlineStr">
        <is>
          <t>2025 appliance</t>
        </is>
      </c>
      <c r="C9" s="5" t="inlineStr">
        <is>
          <t>System guide and maintenance manual for the customer</t>
        </is>
      </c>
      <c r="D9" s="5" t="inlineStr">
        <is>
          <t>SOW — 2025 university pilot customer</t>
        </is>
      </c>
      <c r="E9" s="5" t="inlineStr">
        <is>
          <t>2025-08-05</t>
        </is>
      </c>
      <c r="F9" s="5" t="inlineStr">
        <is>
          <t>DR-2025-09</t>
        </is>
      </c>
      <c r="G9" s="5" t="inlineStr">
        <is>
          <t>Should</t>
        </is>
      </c>
      <c r="H9" s="9" t="inlineStr">
        <is>
          <t>Delivered (2026)</t>
        </is>
      </c>
      <c r="I9" s="5" t="inlineStr">
        <is>
          <t>2026-06-22 USER_MANUAL (dfcf300)</t>
        </is>
      </c>
      <c r="J9" s="5" t="inlineStr">
        <is>
          <t>v1.2.0</t>
        </is>
      </c>
      <c r="K9" s="5" t="inlineStr">
        <is>
          <t>docs/USER_MANUAL.md / .pdf</t>
        </is>
      </c>
      <c r="L9" s="5" t="inlineStr">
        <is>
          <t>Document review</t>
        </is>
      </c>
      <c r="M9" s="5" t="inlineStr">
        <is>
          <t>v1.4.0</t>
        </is>
      </c>
    </row>
    <row r="10">
      <c r="A10" s="5" t="inlineStr">
        <is>
          <t>FR-PL-01</t>
        </is>
      </c>
      <c r="B10" s="5" t="inlineStr">
        <is>
          <t>Platform</t>
        </is>
      </c>
      <c r="C10" s="5" t="inlineStr">
        <is>
          <t>Run the whole product offline on one portable AI supercomputer (DGX Spark)</t>
        </is>
      </c>
      <c r="D10" s="5" t="inlineStr">
        <is>
          <t>CR-2026-01 platform decision</t>
        </is>
      </c>
      <c r="E10" s="5" t="inlineStr">
        <is>
          <t>2026-01</t>
        </is>
      </c>
      <c r="F10" s="5" t="inlineStr">
        <is>
          <t>CR-2026-01</t>
        </is>
      </c>
      <c r="G10" s="5" t="inlineStr">
        <is>
          <t>Must</t>
        </is>
      </c>
      <c r="H10" s="9" t="inlineStr">
        <is>
          <t>Delivered</t>
        </is>
      </c>
      <c r="I10" s="5" t="inlineStr">
        <is>
          <t>2026-02-05 (4b90b36, c751d79)</t>
        </is>
      </c>
      <c r="J10" s="5" t="inlineStr">
        <is>
          <t>v1.0.0</t>
        </is>
      </c>
      <c r="K10" s="5" t="inlineStr">
        <is>
          <t>Offline preparation 0818cdc; offline bundle scripts</t>
        </is>
      </c>
      <c r="L10" s="5" t="inlineStr">
        <is>
          <t>TC-EM-OPS-105; Pass (run 4, 2026-10-06)</t>
        </is>
      </c>
      <c r="M10" s="5" t="inlineStr">
        <is>
          <t>v1.4.0</t>
        </is>
      </c>
    </row>
    <row r="11">
      <c r="A11" s="5" t="inlineStr">
        <is>
          <t>FR-KC-01</t>
        </is>
      </c>
      <c r="B11" s="5" t="inlineStr">
        <is>
          <t>Knowledge chat</t>
        </is>
      </c>
      <c r="C11" s="5" t="inlineStr">
        <is>
          <t>Upload PDF, DOCX and PPTX and index them for questions</t>
        </is>
      </c>
      <c r="D11" s="5" t="inlineStr">
        <is>
          <t>2025 baseline (FR-2025-03)</t>
        </is>
      </c>
      <c r="E11" s="5" t="inlineStr">
        <is>
          <t>2026-02-05</t>
        </is>
      </c>
      <c r="F11" s="5" t="inlineStr">
        <is>
          <t>CR-2026-02</t>
        </is>
      </c>
      <c r="G11" s="5" t="inlineStr">
        <is>
          <t>Must</t>
        </is>
      </c>
      <c r="H11" s="9" t="inlineStr">
        <is>
          <t>Delivered</t>
        </is>
      </c>
      <c r="I11" s="5" t="inlineStr">
        <is>
          <t>2026-02-05 (4b90b36)</t>
        </is>
      </c>
      <c r="J11" s="5" t="inlineStr">
        <is>
          <t>v1.0.0</t>
        </is>
      </c>
      <c r="K11" s="5" t="inlineStr">
        <is>
          <t>Ingestion overhaul 7e582e1 (2026-08-16); allow-list e0ed4d0</t>
        </is>
      </c>
      <c r="L11" s="5" t="inlineStr">
        <is>
          <t>TC-EM-DOC-102 — Pass (run 4, 2026-10-06)</t>
        </is>
      </c>
      <c r="M11" s="5" t="inlineStr">
        <is>
          <t>v1.4.1</t>
        </is>
      </c>
    </row>
    <row r="12">
      <c r="A12" s="5" t="inlineStr">
        <is>
          <t>FR-KC-02</t>
        </is>
      </c>
      <c r="B12" s="5" t="inlineStr">
        <is>
          <t>Knowledge chat</t>
        </is>
      </c>
      <c r="C12" s="5" t="inlineStr">
        <is>
          <t>Answer from the customer's documents with citations; never invent a source</t>
        </is>
      </c>
      <c r="D12" s="5" t="inlineStr">
        <is>
          <t>2025 baseline (FR-2025-01)</t>
        </is>
      </c>
      <c r="E12" s="5" t="inlineStr">
        <is>
          <t>2026-02-05</t>
        </is>
      </c>
      <c r="F12" s="5" t="inlineStr">
        <is>
          <t>CR-2026-02</t>
        </is>
      </c>
      <c r="G12" s="5" t="inlineStr">
        <is>
          <t>Must</t>
        </is>
      </c>
      <c r="H12" s="9" t="inlineStr">
        <is>
          <t>Delivered</t>
        </is>
      </c>
      <c r="I12" s="5" t="inlineStr">
        <is>
          <t>2026-02-05 (4b90b36)</t>
        </is>
      </c>
      <c r="J12" s="5" t="inlineStr">
        <is>
          <t>v1.0.0</t>
        </is>
      </c>
      <c r="K12" s="5" t="inlineStr">
        <is>
          <t>Honest citations 343117f (2026-07-29)</t>
        </is>
      </c>
      <c r="L12" s="5" t="inlineStr">
        <is>
          <t>TC-EM-RAG-103 — Pass (run 4, 2026-10-06); golden suite</t>
        </is>
      </c>
      <c r="M12" s="5" t="inlineStr">
        <is>
          <t>v1.4.1</t>
        </is>
      </c>
    </row>
    <row r="13">
      <c r="A13" s="5" t="inlineStr">
        <is>
          <t>FR-KC-03</t>
        </is>
      </c>
      <c r="B13" s="5" t="inlineStr">
        <is>
          <t>Knowledge chat</t>
        </is>
      </c>
      <c r="C13" s="5" t="inlineStr">
        <is>
          <t>Stream answers token by token</t>
        </is>
      </c>
      <c r="D13" s="5" t="inlineStr">
        <is>
          <t>2025 baseline (FR-2025-01)</t>
        </is>
      </c>
      <c r="E13" s="5" t="inlineStr">
        <is>
          <t>2026-02-05</t>
        </is>
      </c>
      <c r="F13" s="5" t="inlineStr">
        <is>
          <t>—</t>
        </is>
      </c>
      <c r="G13" s="5" t="inlineStr">
        <is>
          <t>Should</t>
        </is>
      </c>
      <c r="H13" s="9" t="inlineStr">
        <is>
          <t>Delivered</t>
        </is>
      </c>
      <c r="I13" s="5" t="inlineStr">
        <is>
          <t>2026-02-05 (da4787d)</t>
        </is>
      </c>
      <c r="J13" s="5" t="inlineStr">
        <is>
          <t>v1.0.0</t>
        </is>
      </c>
      <c r="K13" s="5" t="inlineStr">
        <is>
          <t>TensorRT-LLM streaming</t>
        </is>
      </c>
      <c r="L13" s="5" t="inlineStr">
        <is>
          <t>Unit tests (CI)</t>
        </is>
      </c>
      <c r="M13" s="5" t="inlineStr">
        <is>
          <t>v1.4.0</t>
        </is>
      </c>
    </row>
    <row r="14">
      <c r="A14" s="5" t="inlineStr">
        <is>
          <t>FR-KC-04</t>
        </is>
      </c>
      <c r="B14" s="5" t="inlineStr">
        <is>
          <t>Knowledge chat</t>
        </is>
      </c>
      <c r="C14" s="5" t="inlineStr">
        <is>
          <t>Find answers in very large regulations (DoD FMR, ~7,300 pages) by section and table of contents</t>
        </is>
      </c>
      <c r="D14" s="5" t="inlineStr">
        <is>
          <t>Client A; Client B (Bahrain)</t>
        </is>
      </c>
      <c r="E14" s="5" t="inlineStr">
        <is>
          <t>2026-03</t>
        </is>
      </c>
      <c r="F14" s="5" t="inlineStr">
        <is>
          <t>CR-2026-02</t>
        </is>
      </c>
      <c r="G14" s="5" t="inlineStr">
        <is>
          <t>Must</t>
        </is>
      </c>
      <c r="H14" s="9" t="inlineStr">
        <is>
          <t>Delivered</t>
        </is>
      </c>
      <c r="I14" s="5" t="inlineStr">
        <is>
          <t>2026-03-05 (18715c7, cfe3360); TOC 5057a30 (03-06)</t>
        </is>
      </c>
      <c r="J14" s="5" t="inlineStr">
        <is>
          <t>v1.1.0</t>
        </is>
      </c>
      <c r="K14" s="5" t="inlineStr">
        <is>
          <t>Hierarchical section → chunk retrieval; BookRAG off (2decb99)</t>
        </is>
      </c>
      <c r="L14" s="5" t="inlineStr">
        <is>
          <t>Golden suite 50/52 (2026-07-30)</t>
        </is>
      </c>
      <c r="M14" s="5" t="inlineStr">
        <is>
          <t>v1.4.0</t>
        </is>
      </c>
    </row>
    <row r="15">
      <c r="A15" s="5" t="inlineStr">
        <is>
          <t>FR-KC-05</t>
        </is>
      </c>
      <c r="B15" s="5" t="inlineStr">
        <is>
          <t>Knowledge chat</t>
        </is>
      </c>
      <c r="C15" s="5" t="inlineStr">
        <is>
          <t>Personas (financial adviser, lawyer, teacher and others)</t>
        </is>
      </c>
      <c r="D15" s="5" t="inlineStr">
        <is>
          <t>Client A; Client B (Bahrain) — personal AI assistant</t>
        </is>
      </c>
      <c r="E15" s="5" t="inlineStr">
        <is>
          <t>2026-03</t>
        </is>
      </c>
      <c r="F15" s="5" t="inlineStr">
        <is>
          <t>CR-2026-02</t>
        </is>
      </c>
      <c r="G15" s="5" t="inlineStr">
        <is>
          <t>Should</t>
        </is>
      </c>
      <c r="H15" s="9" t="inlineStr">
        <is>
          <t>Delivered</t>
        </is>
      </c>
      <c r="I15" s="5" t="inlineStr">
        <is>
          <t>2026-03-08 (95d3512)</t>
        </is>
      </c>
      <c r="J15" s="5" t="inlineStr">
        <is>
          <t>v1.1.0</t>
        </is>
      </c>
      <c r="K15" s="5" t="inlineStr">
        <is>
          <t>Persona types 518fb8e (04-08); per-vertical personas c6b834d (06-27)</t>
        </is>
      </c>
      <c r="L15" s="5" t="inlineStr">
        <is>
          <t>Manual check; persona quality overhaul 343117f</t>
        </is>
      </c>
      <c r="M15" s="5" t="inlineStr">
        <is>
          <t>v1.4.0</t>
        </is>
      </c>
    </row>
    <row r="16">
      <c r="A16" s="5" t="inlineStr">
        <is>
          <t>FR-KC-06</t>
        </is>
      </c>
      <c r="B16" s="5" t="inlineStr">
        <is>
          <t>Knowledge chat</t>
        </is>
      </c>
      <c r="C16" s="5" t="inlineStr">
        <is>
          <t>Remember the conversation across turns</t>
        </is>
      </c>
      <c r="D16" s="5" t="inlineStr">
        <is>
          <t>Internal</t>
        </is>
      </c>
      <c r="E16" s="5" t="inlineStr">
        <is>
          <t>2026-02-06</t>
        </is>
      </c>
      <c r="F16" s="5" t="inlineStr">
        <is>
          <t>—</t>
        </is>
      </c>
      <c r="G16" s="5" t="inlineStr">
        <is>
          <t>Should</t>
        </is>
      </c>
      <c r="H16" s="9" t="inlineStr">
        <is>
          <t>Delivered</t>
        </is>
      </c>
      <c r="I16" s="5" t="inlineStr">
        <is>
          <t>2026-02-06 (341b0be)</t>
        </is>
      </c>
      <c r="J16" s="5" t="inlineStr">
        <is>
          <t>v1.0.0</t>
        </is>
      </c>
      <c r="K16" s="5" t="inlineStr">
        <is>
          <t>Follow-up context b6aa963 (07-29)</t>
        </is>
      </c>
      <c r="L16" s="5" t="inlineStr">
        <is>
          <t>Golden suite multi-turn items</t>
        </is>
      </c>
      <c r="M16" s="5" t="inlineStr">
        <is>
          <t>v1.4.0</t>
        </is>
      </c>
    </row>
    <row r="17">
      <c r="A17" s="5" t="inlineStr">
        <is>
          <t>FR-KC-07</t>
        </is>
      </c>
      <c r="B17" s="5" t="inlineStr">
        <is>
          <t>Knowledge chat</t>
        </is>
      </c>
      <c r="C17" s="5" t="inlineStr">
        <is>
          <t>Separate knowledge bases per vertical / tenant; no cross-tenant answers</t>
        </is>
      </c>
      <c r="D17" s="5" t="inlineStr">
        <is>
          <t>Vertical packs</t>
        </is>
      </c>
      <c r="E17" s="5" t="inlineStr">
        <is>
          <t>2026-06-27</t>
        </is>
      </c>
      <c r="F17" s="5" t="inlineStr">
        <is>
          <t>RV-2026-01</t>
        </is>
      </c>
      <c r="G17" s="5" t="inlineStr">
        <is>
          <t>Must</t>
        </is>
      </c>
      <c r="H17" s="9" t="inlineStr">
        <is>
          <t>Delivered</t>
        </is>
      </c>
      <c r="I17" s="5" t="inlineStr">
        <is>
          <t>2026-06-27 (2dba137, ef19d68)</t>
        </is>
      </c>
      <c r="J17" s="5" t="inlineStr">
        <is>
          <t>v1.2.0</t>
        </is>
      </c>
      <c r="K17" s="5" t="inlineStr">
        <is>
          <t>Namespace predicate on all paths 4e27109 (08-07)</t>
        </is>
      </c>
      <c r="L17" s="5" t="inlineStr">
        <is>
          <t>TC-EM-ISO-104 — Pass (run 4, 2026-10-06)</t>
        </is>
      </c>
      <c r="M17" s="5" t="inlineStr">
        <is>
          <t>v1.4.1</t>
        </is>
      </c>
    </row>
    <row r="18">
      <c r="A18" s="5" t="inlineStr">
        <is>
          <t>FR-KC-08</t>
        </is>
      </c>
      <c r="B18" s="5" t="inlineStr">
        <is>
          <t>Knowledge chat</t>
        </is>
      </c>
      <c r="C18" s="5" t="inlineStr">
        <is>
          <t>Manage chats (list, rename, delete)</t>
        </is>
      </c>
      <c r="D18" s="5" t="inlineStr">
        <is>
          <t>Internal</t>
        </is>
      </c>
      <c r="E18" s="5" t="inlineStr">
        <is>
          <t>2026-03-09</t>
        </is>
      </c>
      <c r="F18" s="5" t="inlineStr">
        <is>
          <t>—</t>
        </is>
      </c>
      <c r="G18" s="5" t="inlineStr">
        <is>
          <t>Could</t>
        </is>
      </c>
      <c r="H18" s="9" t="inlineStr">
        <is>
          <t>Delivered</t>
        </is>
      </c>
      <c r="I18" s="5" t="inlineStr">
        <is>
          <t>2026-03-09 (2b9730b)</t>
        </is>
      </c>
      <c r="J18" s="5" t="inlineStr">
        <is>
          <t>v1.1.0</t>
        </is>
      </c>
      <c r="K18" s="5" t="inlineStr">
        <is>
          <t>—</t>
        </is>
      </c>
      <c r="L18" s="5" t="inlineStr">
        <is>
          <t>Manual check</t>
        </is>
      </c>
      <c r="M18" s="5" t="inlineStr">
        <is>
          <t>v1.4.0</t>
        </is>
      </c>
    </row>
    <row r="19">
      <c r="A19" s="5" t="inlineStr">
        <is>
          <t>FR-LT-01</t>
        </is>
      </c>
      <c r="B19" s="5" t="inlineStr">
        <is>
          <t>Live transcription</t>
        </is>
      </c>
      <c r="C19" s="5" t="inlineStr">
        <is>
          <t>Show a live transcript while people speak</t>
        </is>
      </c>
      <c r="D19" s="5" t="inlineStr">
        <is>
          <t>2025 baseline (FR-2025-02)</t>
        </is>
      </c>
      <c r="E19" s="5" t="inlineStr">
        <is>
          <t>2026-02-05</t>
        </is>
      </c>
      <c r="F19" s="5" t="inlineStr">
        <is>
          <t>CR-2026-06</t>
        </is>
      </c>
      <c r="G19" s="5" t="inlineStr">
        <is>
          <t>Must</t>
        </is>
      </c>
      <c r="H19" s="9" t="inlineStr">
        <is>
          <t>Delivered</t>
        </is>
      </c>
      <c r="I19" s="5" t="inlineStr">
        <is>
          <t>2026-02-05 (4b90b36)</t>
        </is>
      </c>
      <c r="J19" s="5" t="inlineStr">
        <is>
          <t>v1.0.0</t>
        </is>
      </c>
      <c r="K19" s="5" t="inlineStr">
        <is>
          <t>Nemotron streaming ASR (d89aeda, 04-08)</t>
        </is>
      </c>
      <c r="L19" s="5" t="inlineStr">
        <is>
          <t>TC-EM-TRN-112 — Not executed (run 4, 2026-10-06) — manual test outstanding</t>
        </is>
      </c>
      <c r="M19" s="5" t="inlineStr">
        <is>
          <t>v1.4.1</t>
        </is>
      </c>
    </row>
    <row r="20">
      <c r="A20" s="5" t="inlineStr">
        <is>
          <t>FR-LT-02</t>
        </is>
      </c>
      <c r="B20" s="5" t="inlineStr">
        <is>
          <t>Live transcription</t>
        </is>
      </c>
      <c r="C20" s="5" t="inlineStr">
        <is>
          <t>Accurate final transcript for domain terms, with automatic fallback to the streaming model</t>
        </is>
      </c>
      <c r="D20" s="5" t="inlineStr">
        <is>
          <t>Client A</t>
        </is>
      </c>
      <c r="E20" s="5" t="inlineStr">
        <is>
          <t>2026-04</t>
        </is>
      </c>
      <c r="F20" s="5" t="inlineStr">
        <is>
          <t>CR-2026-06</t>
        </is>
      </c>
      <c r="G20" s="5" t="inlineStr">
        <is>
          <t>Must</t>
        </is>
      </c>
      <c r="H20" s="9" t="inlineStr">
        <is>
          <t>Delivered</t>
        </is>
      </c>
      <c r="I20" s="5" t="inlineStr">
        <is>
          <t>2026-06-26 (b6a70d8, 3a6b1f9)</t>
        </is>
      </c>
      <c r="J20" s="5" t="inlineStr">
        <is>
          <t>v1.2.0</t>
        </is>
      </c>
      <c r="K20" s="5" t="inlineStr">
        <is>
          <t>Parakeet-TDT final, Nemotron partials</t>
        </is>
      </c>
      <c r="L20" s="5" t="inlineStr">
        <is>
          <t>Voice end-to-end test 8e6d984; unit tests</t>
        </is>
      </c>
      <c r="M20" s="5" t="inlineStr">
        <is>
          <t>v1.4.0</t>
        </is>
      </c>
    </row>
    <row r="21">
      <c r="A21" s="5" t="inlineStr">
        <is>
          <t>FR-LT-03</t>
        </is>
      </c>
      <c r="B21" s="5" t="inlineStr">
        <is>
          <t>Live transcription</t>
        </is>
      </c>
      <c r="C21" s="5" t="inlineStr">
        <is>
          <t>Store transcripts into the knowledge base automatically</t>
        </is>
      </c>
      <c r="D21" s="5" t="inlineStr">
        <is>
          <t>2025 baseline (FR-2025-02)</t>
        </is>
      </c>
      <c r="E21" s="5" t="inlineStr">
        <is>
          <t>2026-02-27</t>
        </is>
      </c>
      <c r="F21" s="5" t="inlineStr">
        <is>
          <t>—</t>
        </is>
      </c>
      <c r="G21" s="5" t="inlineStr">
        <is>
          <t>Should</t>
        </is>
      </c>
      <c r="H21" s="9" t="inlineStr">
        <is>
          <t>Delivered</t>
        </is>
      </c>
      <c r="I21" s="5" t="inlineStr">
        <is>
          <t>2026-02-27 (223714c)</t>
        </is>
      </c>
      <c r="J21" s="5" t="inlineStr">
        <is>
          <t>v1.0.0</t>
        </is>
      </c>
      <c r="K21" s="5" t="inlineStr">
        <is>
          <t>Auto-store every 60 s</t>
        </is>
      </c>
      <c r="L21" s="5" t="inlineStr">
        <is>
          <t>Unit tests</t>
        </is>
      </c>
      <c r="M21" s="5" t="inlineStr">
        <is>
          <t>v1.4.0</t>
        </is>
      </c>
    </row>
    <row r="22">
      <c r="A22" s="5" t="inlineStr">
        <is>
          <t>FR-LT-04</t>
        </is>
      </c>
      <c r="B22" s="5" t="inlineStr">
        <is>
          <t>Live transcription</t>
        </is>
      </c>
      <c r="C22" s="5" t="inlineStr">
        <is>
          <t>Word cloud of the live conversation</t>
        </is>
      </c>
      <c r="D22" s="5" t="inlineStr">
        <is>
          <t>Internal</t>
        </is>
      </c>
      <c r="E22" s="5" t="inlineStr">
        <is>
          <t>2026-03-09</t>
        </is>
      </c>
      <c r="F22" s="5" t="inlineStr">
        <is>
          <t>—</t>
        </is>
      </c>
      <c r="G22" s="5" t="inlineStr">
        <is>
          <t>Could</t>
        </is>
      </c>
      <c r="H22" s="9" t="inlineStr">
        <is>
          <t>Delivered</t>
        </is>
      </c>
      <c r="I22" s="5" t="inlineStr">
        <is>
          <t>2026-03-09 (5d64088)</t>
        </is>
      </c>
      <c r="J22" s="5" t="inlineStr">
        <is>
          <t>v1.1.0</t>
        </is>
      </c>
      <c r="K22" s="5" t="inlineStr">
        <is>
          <t>—</t>
        </is>
      </c>
      <c r="L22" s="5" t="inlineStr">
        <is>
          <t>Manual check</t>
        </is>
      </c>
      <c r="M22" s="5" t="inlineStr">
        <is>
          <t>v1.4.0</t>
        </is>
      </c>
    </row>
    <row r="23">
      <c r="A23" s="5" t="inlineStr">
        <is>
          <t>FR-SA-01</t>
        </is>
      </c>
      <c r="B23" s="5" t="inlineStr">
        <is>
          <t>Silent Assistant</t>
        </is>
      </c>
      <c r="C23" s="5" t="inlineStr">
        <is>
          <t>Listen during a conversation and put supporting data on screen without speaking</t>
        </is>
      </c>
      <c r="D23" s="5" t="inlineStr">
        <is>
          <t>Client C (law firm)</t>
        </is>
      </c>
      <c r="E23" s="5" t="inlineStr">
        <is>
          <t>2026-05</t>
        </is>
      </c>
      <c r="F23" s="5" t="inlineStr">
        <is>
          <t>CR-2026-07</t>
        </is>
      </c>
      <c r="G23" s="5" t="inlineStr">
        <is>
          <t>Must</t>
        </is>
      </c>
      <c r="H23" s="9" t="inlineStr">
        <is>
          <t>Delivered</t>
        </is>
      </c>
      <c r="I23" s="5" t="inlineStr">
        <is>
          <t>2026-05-11 (ec9b180)</t>
        </is>
      </c>
      <c r="J23" s="5" t="inlineStr">
        <is>
          <t>v1.2.0</t>
        </is>
      </c>
      <c r="K23" s="5" t="inlineStr">
        <is>
          <t>Always-surface mode f75121b (06-27)</t>
        </is>
      </c>
      <c r="L23" s="5" t="inlineStr">
        <is>
          <t>Unit tests; scenario harness</t>
        </is>
      </c>
      <c r="M23" s="5" t="inlineStr">
        <is>
          <t>v1.4.0</t>
        </is>
      </c>
    </row>
    <row r="24">
      <c r="A24" s="5" t="inlineStr">
        <is>
          <t>FR-SA-02</t>
        </is>
      </c>
      <c r="B24" s="5" t="inlineStr">
        <is>
          <t>Silent Assistant</t>
        </is>
      </c>
      <c r="C24" s="5" t="inlineStr">
        <is>
          <t>Rule packs per vertical (law and others)</t>
        </is>
      </c>
      <c r="D24" s="5" t="inlineStr">
        <is>
          <t>Client C (law firm)</t>
        </is>
      </c>
      <c r="E24" s="5" t="inlineStr">
        <is>
          <t>2026-05</t>
        </is>
      </c>
      <c r="F24" s="5" t="inlineStr">
        <is>
          <t>CR-2026-07</t>
        </is>
      </c>
      <c r="G24" s="5" t="inlineStr">
        <is>
          <t>Should</t>
        </is>
      </c>
      <c r="H24" s="9" t="inlineStr">
        <is>
          <t>Delivered</t>
        </is>
      </c>
      <c r="I24" s="5" t="inlineStr">
        <is>
          <t>2026-06-27 (f75121b)</t>
        </is>
      </c>
      <c r="J24" s="5" t="inlineStr">
        <is>
          <t>v1.2.0</t>
        </is>
      </c>
      <c r="K24" s="5" t="inlineStr">
        <is>
          <t>—</t>
        </is>
      </c>
      <c r="L24" s="5" t="inlineStr">
        <is>
          <t>Unit tests</t>
        </is>
      </c>
      <c r="M24" s="5" t="inlineStr">
        <is>
          <t>v1.4.0</t>
        </is>
      </c>
    </row>
    <row r="25">
      <c r="A25" s="5" t="inlineStr">
        <is>
          <t>FR-SA-03</t>
        </is>
      </c>
      <c r="B25" s="5" t="inlineStr">
        <is>
          <t>Silent Assistant</t>
        </is>
      </c>
      <c r="C25" s="5" t="inlineStr">
        <is>
          <t>Check each sentence and show quoted proof from the documents</t>
        </is>
      </c>
      <c r="D25" s="5" t="inlineStr">
        <is>
          <t>Client C (law firm)</t>
        </is>
      </c>
      <c r="E25" s="5" t="inlineStr">
        <is>
          <t>2026-05</t>
        </is>
      </c>
      <c r="F25" s="5" t="inlineStr">
        <is>
          <t>CR-2026-07</t>
        </is>
      </c>
      <c r="G25" s="5" t="inlineStr">
        <is>
          <t>Should</t>
        </is>
      </c>
      <c r="H25" s="9" t="inlineStr">
        <is>
          <t>Delivered</t>
        </is>
      </c>
      <c r="I25" s="5" t="inlineStr">
        <is>
          <t>2026-08-16 (7f2658a)</t>
        </is>
      </c>
      <c r="J25" s="5" t="inlineStr">
        <is>
          <t>v1.3.0</t>
        </is>
      </c>
      <c r="K25" s="5" t="inlineStr">
        <is>
          <t>Gated checks 15f3c96 (09-14)</t>
        </is>
      </c>
      <c r="L25" s="5" t="inlineStr">
        <is>
          <t>Scenario harness (silent-assistant v2)</t>
        </is>
      </c>
      <c r="M25" s="5" t="inlineStr">
        <is>
          <t>v1.4.0</t>
        </is>
      </c>
    </row>
    <row r="26">
      <c r="A26" s="5" t="inlineStr">
        <is>
          <t>FR-BR-01</t>
        </is>
      </c>
      <c r="B26" s="5" t="inlineStr">
        <is>
          <t>Boardroom</t>
        </is>
      </c>
      <c r="C26" s="5" t="inlineStr">
        <is>
          <t>Record a meeting and produce a speaker-separated transcript</t>
        </is>
      </c>
      <c r="D26" s="5" t="inlineStr">
        <is>
          <t>Internal (group discussions)</t>
        </is>
      </c>
      <c r="E26" s="5" t="inlineStr">
        <is>
          <t>2026-05</t>
        </is>
      </c>
      <c r="F26" s="5" t="inlineStr">
        <is>
          <t>CR-2026-08</t>
        </is>
      </c>
      <c r="G26" s="5" t="inlineStr">
        <is>
          <t>Must</t>
        </is>
      </c>
      <c r="H26" s="9" t="inlineStr">
        <is>
          <t>Delivered</t>
        </is>
      </c>
      <c r="I26" s="5" t="inlineStr">
        <is>
          <t>2026-05-14 (f540976); 05-19 cf463aa</t>
        </is>
      </c>
      <c r="J26" s="5" t="inlineStr">
        <is>
          <t>v1.2.0</t>
        </is>
      </c>
      <c r="K26" s="5" t="inlineStr">
        <is>
          <t>VibeVoice-ASR in an isolated process; Nemotron fallback</t>
        </is>
      </c>
      <c r="L26" s="5" t="inlineStr">
        <is>
          <t>TC-EM-BRD-111 — Pass (run 4, 2026-10-06)</t>
        </is>
      </c>
      <c r="M26" s="5" t="inlineStr">
        <is>
          <t>v1.4.1</t>
        </is>
      </c>
    </row>
    <row r="27">
      <c r="A27" s="5" t="inlineStr">
        <is>
          <t>FR-BR-02</t>
        </is>
      </c>
      <c r="B27" s="5" t="inlineStr">
        <is>
          <t>Boardroom</t>
        </is>
      </c>
      <c r="C27" s="5" t="inlineStr">
        <is>
          <t>Generate a meeting report and export it as PDF or PPTX</t>
        </is>
      </c>
      <c r="D27" s="5" t="inlineStr">
        <is>
          <t>Internal (group discussions)</t>
        </is>
      </c>
      <c r="E27" s="5" t="inlineStr">
        <is>
          <t>2026-05</t>
        </is>
      </c>
      <c r="F27" s="5" t="inlineStr">
        <is>
          <t>CR-2026-08</t>
        </is>
      </c>
      <c r="G27" s="5" t="inlineStr">
        <is>
          <t>Must</t>
        </is>
      </c>
      <c r="H27" s="9" t="inlineStr">
        <is>
          <t>Delivered</t>
        </is>
      </c>
      <c r="I27" s="5" t="inlineStr">
        <is>
          <t>2026-05-14 (f540976)</t>
        </is>
      </c>
      <c r="J27" s="5" t="inlineStr">
        <is>
          <t>v1.2.0</t>
        </is>
      </c>
      <c r="K27" s="5" t="inlineStr">
        <is>
          <t>Report salvage 724fb98 (09-04)</t>
        </is>
      </c>
      <c r="L27" s="5" t="inlineStr">
        <is>
          <t>TC-EM-BRD-111 — Pass (run 4, 2026-10-06)</t>
        </is>
      </c>
      <c r="M27" s="5" t="inlineStr">
        <is>
          <t>v1.4.1</t>
        </is>
      </c>
    </row>
    <row r="28">
      <c r="A28" s="5" t="inlineStr">
        <is>
          <t>FR-VC-01</t>
        </is>
      </c>
      <c r="B28" s="5" t="inlineStr">
        <is>
          <t>Voice</t>
        </is>
      </c>
      <c r="C28" s="5" t="inlineStr">
        <is>
          <t>Natural spoken conversation grounded in the customer's knowledge base</t>
        </is>
      </c>
      <c r="D28" s="5" t="inlineStr">
        <is>
          <t>Client A; Client B (Bahrain)</t>
        </is>
      </c>
      <c r="E28" s="5" t="inlineStr">
        <is>
          <t>2026-03</t>
        </is>
      </c>
      <c r="F28" s="5" t="inlineStr">
        <is>
          <t>CR-2026-04</t>
        </is>
      </c>
      <c r="G28" s="5" t="inlineStr">
        <is>
          <t>Must</t>
        </is>
      </c>
      <c r="H28" s="9" t="inlineStr">
        <is>
          <t>Delivered</t>
        </is>
      </c>
      <c r="I28" s="5" t="inlineStr">
        <is>
          <t>2026-04-08 (ddc0aa3) — own dual loop</t>
        </is>
      </c>
      <c r="J28" s="5" t="inlineStr">
        <is>
          <t>v1.1.0</t>
        </is>
      </c>
      <c r="K28" s="5" t="inlineStr">
        <is>
          <t>Speculative replies ff29843 (09-21)</t>
        </is>
      </c>
      <c r="L28" s="5" t="inlineStr">
        <is>
          <t>Paper E4/E7 (2026-08-07); 12 spoken turns (09-21)</t>
        </is>
      </c>
      <c r="M28" s="5" t="inlineStr">
        <is>
          <t>v1.4.0</t>
        </is>
      </c>
    </row>
    <row r="29">
      <c r="A29" s="5" t="inlineStr">
        <is>
          <t>FR-VC-02</t>
        </is>
      </c>
      <c r="B29" s="5" t="inlineStr">
        <is>
          <t>Voice</t>
        </is>
      </c>
      <c r="C29" s="5" t="inlineStr">
        <is>
          <t>Interrupt the assistant by speaking (barge-in)</t>
        </is>
      </c>
      <c r="D29" s="5" t="inlineStr">
        <is>
          <t>Client A; Client B (Bahrain)</t>
        </is>
      </c>
      <c r="E29" s="5" t="inlineStr">
        <is>
          <t>2026-03</t>
        </is>
      </c>
      <c r="F29" s="5" t="inlineStr">
        <is>
          <t>CR-2026-03</t>
        </is>
      </c>
      <c r="G29" s="5" t="inlineStr">
        <is>
          <t>Must</t>
        </is>
      </c>
      <c r="H29" s="9" t="inlineStr">
        <is>
          <t>Delivered</t>
        </is>
      </c>
      <c r="I29" s="5" t="inlineStr">
        <is>
          <t>2026-02-06 (65e01ec)</t>
        </is>
      </c>
      <c r="J29" s="5" t="inlineStr">
        <is>
          <t>v1.0.0</t>
        </is>
      </c>
      <c r="K29" s="5" t="inlineStr">
        <is>
          <t>Tuned 5088c93 (06-26)</t>
        </is>
      </c>
      <c r="L29" s="5" t="inlineStr">
        <is>
          <t>Paper E7: success 1.00; stop time 2.13 s (NFR-P07 open)</t>
        </is>
      </c>
      <c r="M29" s="5" t="inlineStr">
        <is>
          <t>v1.4.0</t>
        </is>
      </c>
    </row>
    <row r="30">
      <c r="A30" s="5" t="inlineStr">
        <is>
          <t>FR-VC-03</t>
        </is>
      </c>
      <c r="B30" s="5" t="inlineStr">
        <is>
          <t>Voice</t>
        </is>
      </c>
      <c r="C30" s="5" t="inlineStr">
        <is>
          <t>Personal assistant: wake word, listen-only mode, memory of what was said</t>
        </is>
      </c>
      <c r="D30" s="5" t="inlineStr">
        <is>
          <t>Client A; Client B (Bahrain) — personal AI assistant</t>
        </is>
      </c>
      <c r="E30" s="5" t="inlineStr">
        <is>
          <t>2026-03</t>
        </is>
      </c>
      <c r="F30" s="5" t="inlineStr">
        <is>
          <t>CR-2026-02</t>
        </is>
      </c>
      <c r="G30" s="5" t="inlineStr">
        <is>
          <t>Should</t>
        </is>
      </c>
      <c r="H30" s="9" t="inlineStr">
        <is>
          <t>Delivered</t>
        </is>
      </c>
      <c r="I30" s="5" t="inlineStr">
        <is>
          <t>2026-02-25 (e0ca515, a1fd76b) — available before the request</t>
        </is>
      </c>
      <c r="J30" s="5" t="inlineStr">
        <is>
          <t>v1.0.0</t>
        </is>
      </c>
      <c r="K30" s="5" t="inlineStr">
        <is>
          <t>Financial-assistant behaviour 95d3512 (03-08)</t>
        </is>
      </c>
      <c r="L30" s="5" t="inlineStr">
        <is>
          <t>Manual check</t>
        </is>
      </c>
      <c r="M30" s="5" t="inlineStr">
        <is>
          <t>v1.4.0</t>
        </is>
      </c>
    </row>
    <row r="31">
      <c r="A31" s="5" t="inlineStr">
        <is>
          <t>FR-VC-04</t>
        </is>
      </c>
      <c r="B31" s="5" t="inlineStr">
        <is>
          <t>Voice</t>
        </is>
      </c>
      <c r="C31" s="5" t="inlineStr">
        <is>
          <t>Choice of voices and TTS engine</t>
        </is>
      </c>
      <c r="D31" s="5" t="inlineStr">
        <is>
          <t>Internal</t>
        </is>
      </c>
      <c r="E31" s="5" t="inlineStr">
        <is>
          <t>2026-06-27</t>
        </is>
      </c>
      <c r="F31" s="5" t="inlineStr">
        <is>
          <t>—</t>
        </is>
      </c>
      <c r="G31" s="5" t="inlineStr">
        <is>
          <t>Could</t>
        </is>
      </c>
      <c r="H31" s="9" t="inlineStr">
        <is>
          <t>Delivered</t>
        </is>
      </c>
      <c r="I31" s="5" t="inlineStr">
        <is>
          <t>2026-06-27 (52e6db9, 4bc0d58)</t>
        </is>
      </c>
      <c r="J31" s="5" t="inlineStr">
        <is>
          <t>v1.2.0</t>
        </is>
      </c>
      <c r="K31" s="5" t="inlineStr">
        <is>
          <t>Piper default; Kokoro optional</t>
        </is>
      </c>
      <c r="L31" s="5" t="inlineStr">
        <is>
          <t>Manual check</t>
        </is>
      </c>
      <c r="M31" s="5" t="inlineStr">
        <is>
          <t>v1.4.0</t>
        </is>
      </c>
    </row>
    <row r="32">
      <c r="A32" s="5" t="inlineStr">
        <is>
          <t>FR-DS-01</t>
        </is>
      </c>
      <c r="B32" s="5" t="inlineStr">
        <is>
          <t>Document Studio</t>
        </is>
      </c>
      <c r="C32" s="5" t="inlineStr">
        <is>
          <t>Create documents from a topic, a chat or uploaded documents</t>
        </is>
      </c>
      <c r="D32" s="5" t="inlineStr">
        <is>
          <t>Client D (Gulf region)</t>
        </is>
      </c>
      <c r="E32" s="5" t="inlineStr">
        <is>
          <t>2026-06</t>
        </is>
      </c>
      <c r="F32" s="5" t="inlineStr">
        <is>
          <t>CR-2026-09</t>
        </is>
      </c>
      <c r="G32" s="5" t="inlineStr">
        <is>
          <t>Must</t>
        </is>
      </c>
      <c r="H32" s="9" t="inlineStr">
        <is>
          <t>Delivered</t>
        </is>
      </c>
      <c r="I32" s="5" t="inlineStr">
        <is>
          <t>2026-06-20 (2d23f40)</t>
        </is>
      </c>
      <c r="J32" s="5" t="inlineStr">
        <is>
          <t>v1.2.0</t>
        </is>
      </c>
      <c r="K32" s="5" t="inlineStr">
        <is>
          <t>—</t>
        </is>
      </c>
      <c r="L32" s="5" t="inlineStr">
        <is>
          <t>TC-EM-DGEN-110 — Pass (run 4, 2026-10-06)</t>
        </is>
      </c>
      <c r="M32" s="5" t="inlineStr">
        <is>
          <t>v1.4.1</t>
        </is>
      </c>
    </row>
    <row r="33">
      <c r="A33" s="5" t="inlineStr">
        <is>
          <t>FR-DS-02</t>
        </is>
      </c>
      <c r="B33" s="5" t="inlineStr">
        <is>
          <t>Document Studio</t>
        </is>
      </c>
      <c r="C33" s="5" t="inlineStr">
        <is>
          <t>Export as PDF and PPTX, made locally</t>
        </is>
      </c>
      <c r="D33" s="5" t="inlineStr">
        <is>
          <t>Client D (Gulf region)</t>
        </is>
      </c>
      <c r="E33" s="5" t="inlineStr">
        <is>
          <t>2026-06</t>
        </is>
      </c>
      <c r="F33" s="5" t="inlineStr">
        <is>
          <t>CR-2026-09</t>
        </is>
      </c>
      <c r="G33" s="5" t="inlineStr">
        <is>
          <t>Must</t>
        </is>
      </c>
      <c r="H33" s="9" t="inlineStr">
        <is>
          <t>Delivered</t>
        </is>
      </c>
      <c r="I33" s="5" t="inlineStr">
        <is>
          <t>2026-06-20 (2d23f40)</t>
        </is>
      </c>
      <c r="J33" s="5" t="inlineStr">
        <is>
          <t>v1.2.0</t>
        </is>
      </c>
      <c r="K33" s="5" t="inlineStr">
        <is>
          <t>—</t>
        </is>
      </c>
      <c r="L33" s="5" t="inlineStr">
        <is>
          <t>TC-EM-DGEN-110 — Pass (run 4, 2026-10-06)</t>
        </is>
      </c>
      <c r="M33" s="5" t="inlineStr">
        <is>
          <t>v1.4.1</t>
        </is>
      </c>
    </row>
    <row r="34">
      <c r="A34" s="5" t="inlineStr">
        <is>
          <t>FR-DS-03</t>
        </is>
      </c>
      <c r="B34" s="5" t="inlineStr">
        <is>
          <t>Document Studio</t>
        </is>
      </c>
      <c r="C34" s="5" t="inlineStr">
        <is>
          <t>Generated images, made on the device</t>
        </is>
      </c>
      <c r="D34" s="5" t="inlineStr">
        <is>
          <t>Client D (Gulf region)</t>
        </is>
      </c>
      <c r="E34" s="5" t="inlineStr">
        <is>
          <t>2026-06</t>
        </is>
      </c>
      <c r="F34" s="5" t="inlineStr">
        <is>
          <t>CR-2026-09</t>
        </is>
      </c>
      <c r="G34" s="5" t="inlineStr">
        <is>
          <t>Should</t>
        </is>
      </c>
      <c r="H34" s="9" t="inlineStr">
        <is>
          <t>Delivered</t>
        </is>
      </c>
      <c r="I34" s="5" t="inlineStr">
        <is>
          <t>2026-06-20 (2d23f40) — SDXL-Turbo</t>
        </is>
      </c>
      <c r="J34" s="5" t="inlineStr">
        <is>
          <t>v1.2.0</t>
        </is>
      </c>
      <c r="K34" s="5" t="inlineStr">
        <is>
          <t>—</t>
        </is>
      </c>
      <c r="L34" s="5" t="inlineStr">
        <is>
          <t>Manual check (image status endpoint)</t>
        </is>
      </c>
      <c r="M34" s="5" t="inlineStr">
        <is>
          <t>v1.4.0</t>
        </is>
      </c>
    </row>
    <row r="35">
      <c r="A35" s="5" t="inlineStr">
        <is>
          <t>FR-DS-04</t>
        </is>
      </c>
      <c r="B35" s="5" t="inlineStr">
        <is>
          <t>Document Studio</t>
        </is>
      </c>
      <c r="C35" s="5" t="inlineStr">
        <is>
          <t>Work with or without a template; upload your own template</t>
        </is>
      </c>
      <c r="D35" s="5" t="inlineStr">
        <is>
          <t>Client D (Gulf region)</t>
        </is>
      </c>
      <c r="E35" s="5" t="inlineStr">
        <is>
          <t>2026-06</t>
        </is>
      </c>
      <c r="F35" s="5" t="inlineStr">
        <is>
          <t>CR-2026-09</t>
        </is>
      </c>
      <c r="G35" s="5" t="inlineStr">
        <is>
          <t>Should</t>
        </is>
      </c>
      <c r="H35" s="9" t="inlineStr">
        <is>
          <t>Delivered</t>
        </is>
      </c>
      <c r="I35" s="5" t="inlineStr">
        <is>
          <t>2026-06-27 (66356f9)</t>
        </is>
      </c>
      <c r="J35" s="5" t="inlineStr">
        <is>
          <t>v1.2.0</t>
        </is>
      </c>
      <c r="K35" s="5" t="inlineStr">
        <is>
          <t>18 built-in templates + custom upload</t>
        </is>
      </c>
      <c r="L35" s="5" t="inlineStr">
        <is>
          <t>TC-EM-DGEN-110 — Pass (run 4, 2026-10-06)</t>
        </is>
      </c>
      <c r="M35" s="5" t="inlineStr">
        <is>
          <t>v1.4.1</t>
        </is>
      </c>
    </row>
    <row r="36">
      <c r="A36" s="5" t="inlineStr">
        <is>
          <t>FR-PL-02</t>
        </is>
      </c>
      <c r="B36" s="5" t="inlineStr">
        <is>
          <t>Platform</t>
        </is>
      </c>
      <c r="C36" s="5" t="inlineStr">
        <is>
          <t>Login, roles and admin user management</t>
        </is>
      </c>
      <c r="D36" s="5" t="inlineStr">
        <is>
          <t>Internal (security)</t>
        </is>
      </c>
      <c r="E36" s="5" t="inlineStr">
        <is>
          <t>2026-06-27</t>
        </is>
      </c>
      <c r="F36" s="5" t="inlineStr">
        <is>
          <t>SR-2026-01</t>
        </is>
      </c>
      <c r="G36" s="5" t="inlineStr">
        <is>
          <t>Must</t>
        </is>
      </c>
      <c r="H36" s="9" t="inlineStr">
        <is>
          <t>Delivered</t>
        </is>
      </c>
      <c r="I36" s="5" t="inlineStr">
        <is>
          <t>2026-06-27 (c9bad3d, d12db42, 7a83262)</t>
        </is>
      </c>
      <c r="J36" s="5" t="inlineStr">
        <is>
          <t>v1.2.0</t>
        </is>
      </c>
      <c r="K36" s="5" t="inlineStr">
        <is>
          <t>Logout revokes tokens e0ed4d0</t>
        </is>
      </c>
      <c r="L36" s="5" t="inlineStr">
        <is>
          <t>TC-EM-AUTH-101 — Pass (run 4, 2026-10-06)</t>
        </is>
      </c>
      <c r="M36" s="5" t="inlineStr">
        <is>
          <t>v1.4.1</t>
        </is>
      </c>
    </row>
    <row r="37">
      <c r="A37" s="5" t="inlineStr">
        <is>
          <t>FR-PL-03</t>
        </is>
      </c>
      <c r="B37" s="5" t="inlineStr">
        <is>
          <t>Platform</t>
        </is>
      </c>
      <c r="C37" s="5" t="inlineStr">
        <is>
          <t>Activity log of who did what</t>
        </is>
      </c>
      <c r="D37" s="5" t="inlineStr">
        <is>
          <t>Internal (security)</t>
        </is>
      </c>
      <c r="E37" s="5" t="inlineStr">
        <is>
          <t>2026-06-27</t>
        </is>
      </c>
      <c r="F37" s="5" t="inlineStr">
        <is>
          <t>—</t>
        </is>
      </c>
      <c r="G37" s="5" t="inlineStr">
        <is>
          <t>Must</t>
        </is>
      </c>
      <c r="H37" s="9" t="inlineStr">
        <is>
          <t>Delivered</t>
        </is>
      </c>
      <c r="I37" s="5" t="inlineStr">
        <is>
          <t>2026-06-27 (ac26d41)</t>
        </is>
      </c>
      <c r="J37" s="5" t="inlineStr">
        <is>
          <t>v1.2.0</t>
        </is>
      </c>
      <c r="K37" s="5" t="inlineStr">
        <is>
          <t>Caller identified before the request 3feb5db</t>
        </is>
      </c>
      <c r="L37" s="5" t="inlineStr">
        <is>
          <t>TC-EM-AUTH-101 — Pass (run 4, 2026-10-06) (AC-101.8)</t>
        </is>
      </c>
      <c r="M37" s="5" t="inlineStr">
        <is>
          <t>v1.4.1</t>
        </is>
      </c>
    </row>
    <row r="38">
      <c r="A38" s="5" t="inlineStr">
        <is>
          <t>FR-PL-04</t>
        </is>
      </c>
      <c r="B38" s="5" t="inlineStr">
        <is>
          <t>Platform</t>
        </is>
      </c>
      <c r="C38" s="5" t="inlineStr">
        <is>
          <t>Export gateway that finds and redacts personal data and keys before content leaves</t>
        </is>
      </c>
      <c r="D38" s="5" t="inlineStr">
        <is>
          <t>Product vision (offline → online)</t>
        </is>
      </c>
      <c r="E38" s="5" t="inlineStr">
        <is>
          <t>2026-06-27</t>
        </is>
      </c>
      <c r="F38" s="5" t="inlineStr">
        <is>
          <t>—</t>
        </is>
      </c>
      <c r="G38" s="5" t="inlineStr">
        <is>
          <t>Must</t>
        </is>
      </c>
      <c r="H38" s="9" t="inlineStr">
        <is>
          <t>Delivered</t>
        </is>
      </c>
      <c r="I38" s="5" t="inlineStr">
        <is>
          <t>2026-06-27 (d19177d)</t>
        </is>
      </c>
      <c r="J38" s="5" t="inlineStr">
        <is>
          <t>v1.2.0</t>
        </is>
      </c>
      <c r="K38" s="5" t="inlineStr">
        <is>
          <t>Key formats e0ed4d0</t>
        </is>
      </c>
      <c r="L38" s="5" t="inlineStr">
        <is>
          <t>TC-EM-EXP-108 — Pass (run 4, 2026-10-06)</t>
        </is>
      </c>
      <c r="M38" s="5" t="inlineStr">
        <is>
          <t>v1.4.1</t>
        </is>
      </c>
    </row>
    <row r="39">
      <c r="A39" s="5" t="inlineStr">
        <is>
          <t>FR-PL-05</t>
        </is>
      </c>
      <c r="B39" s="5" t="inlineStr">
        <is>
          <t>Platform</t>
        </is>
      </c>
      <c r="C39" s="5" t="inlineStr">
        <is>
          <t>Vertical packs (banking, health, law, meetings, retail)</t>
        </is>
      </c>
      <c r="D39" s="5" t="inlineStr">
        <is>
          <t>Client verticals</t>
        </is>
      </c>
      <c r="E39" s="5" t="inlineStr">
        <is>
          <t>2026-06-27</t>
        </is>
      </c>
      <c r="F39" s="5" t="inlineStr">
        <is>
          <t>—</t>
        </is>
      </c>
      <c r="G39" s="5" t="inlineStr">
        <is>
          <t>Should</t>
        </is>
      </c>
      <c r="H39" s="9" t="inlineStr">
        <is>
          <t>Delivered</t>
        </is>
      </c>
      <c r="I39" s="5" t="inlineStr">
        <is>
          <t>2026-06-27 (e8ead2f, c6b834d)</t>
        </is>
      </c>
      <c r="J39" s="5" t="inlineStr">
        <is>
          <t>v1.2.0</t>
        </is>
      </c>
      <c r="K39" s="5" t="inlineStr">
        <is>
          <t>—</t>
        </is>
      </c>
      <c r="L39" s="5" t="inlineStr">
        <is>
          <t>Manual check</t>
        </is>
      </c>
      <c r="M39" s="5" t="inlineStr">
        <is>
          <t>v1.4.0</t>
        </is>
      </c>
    </row>
    <row r="40">
      <c r="A40" s="5" t="inlineStr">
        <is>
          <t>FR-PL-06</t>
        </is>
      </c>
      <c r="B40" s="5" t="inlineStr">
        <is>
          <t>Platform</t>
        </is>
      </c>
      <c r="C40" s="5" t="inlineStr">
        <is>
          <t>Reach a deployed unit on site with no network: hotspot and landing page at boot</t>
        </is>
      </c>
      <c r="D40" s="5" t="inlineStr">
        <is>
          <t>Alexander Peter (Project Lead)</t>
        </is>
      </c>
      <c r="E40" s="5" t="inlineStr">
        <is>
          <t>2026-04</t>
        </is>
      </c>
      <c r="F40" s="5" t="inlineStr">
        <is>
          <t>CR-2026-05</t>
        </is>
      </c>
      <c r="G40" s="5" t="inlineStr">
        <is>
          <t>Must</t>
        </is>
      </c>
      <c r="H40" s="9" t="inlineStr">
        <is>
          <t>Delivered</t>
        </is>
      </c>
      <c r="I40" s="5" t="inlineStr">
        <is>
          <t>2026-04 — on the deployment unit</t>
        </is>
      </c>
      <c r="J40" s="5" t="inlineStr">
        <is>
          <t>v1.1.0</t>
        </is>
      </c>
      <c r="K40" s="5" t="inlineStr">
        <is>
          <t>Configuration not yet in the repository (AC-26)</t>
        </is>
      </c>
      <c r="L40" s="5" t="inlineStr">
        <is>
          <t>Demonstrated on the unit; record to be added (AC-26)</t>
        </is>
      </c>
      <c r="M40" s="5" t="inlineStr">
        <is>
          <t>Deployment unit</t>
        </is>
      </c>
    </row>
    <row r="41">
      <c r="A41" s="5" t="inlineStr">
        <is>
          <t>FR-PL-07</t>
        </is>
      </c>
      <c r="B41" s="5" t="inlineStr">
        <is>
          <t>Platform</t>
        </is>
      </c>
      <c r="C41" s="5" t="inlineStr">
        <is>
          <t>Public reference instance for demonstrations</t>
        </is>
      </c>
      <c r="D41" s="5" t="inlineStr">
        <is>
          <t>Internal</t>
        </is>
      </c>
      <c r="E41" s="5" t="inlineStr">
        <is>
          <t>2026-06-24</t>
        </is>
      </c>
      <c r="F41" s="5" t="inlineStr">
        <is>
          <t>—</t>
        </is>
      </c>
      <c r="G41" s="5" t="inlineStr">
        <is>
          <t>Should</t>
        </is>
      </c>
      <c r="H41" s="9" t="inlineStr">
        <is>
          <t>Delivered</t>
        </is>
      </c>
      <c r="I41" s="5" t="inlineStr">
        <is>
          <t>2026-06-24 (7c521f3)</t>
        </is>
      </c>
      <c r="J41" s="5" t="inlineStr">
        <is>
          <t>v1.2.0</t>
        </is>
      </c>
      <c r="K41" s="5" t="inlineStr">
        <is>
          <t>Login enforced; checked every 6 h</t>
        </is>
      </c>
      <c r="L41" s="5" t="inlineStr">
        <is>
          <t>External gate check (every 6 h)</t>
        </is>
      </c>
      <c r="M41" s="5" t="inlineStr">
        <is>
          <t>v1.4.1</t>
        </is>
      </c>
    </row>
    <row r="42">
      <c r="A42" s="5" t="inlineStr">
        <is>
          <t>FR-PL-08</t>
        </is>
      </c>
      <c r="B42" s="5" t="inlineStr">
        <is>
          <t>Platform</t>
        </is>
      </c>
      <c r="C42" s="5" t="inlineStr">
        <is>
          <t>Report the running version and commit</t>
        </is>
      </c>
      <c r="D42" s="5" t="inlineStr">
        <is>
          <t>QMS (G-01)</t>
        </is>
      </c>
      <c r="E42" s="5" t="inlineStr">
        <is>
          <t>2026-09-21</t>
        </is>
      </c>
      <c r="F42" s="5" t="inlineStr">
        <is>
          <t>RV-2026-06</t>
        </is>
      </c>
      <c r="G42" s="5" t="inlineStr">
        <is>
          <t>Must</t>
        </is>
      </c>
      <c r="H42" s="9" t="inlineStr">
        <is>
          <t>Delivered</t>
        </is>
      </c>
      <c r="I42" s="5" t="inlineStr">
        <is>
          <t>2026-09-22 (51fd3bc)</t>
        </is>
      </c>
      <c r="J42" s="5" t="inlineStr">
        <is>
          <t>v1.4.0</t>
        </is>
      </c>
      <c r="K42" s="5" t="inlineStr">
        <is>
          <t>/api/version, voice /health, /build.json</t>
        </is>
      </c>
      <c r="L42" s="5" t="inlineStr">
        <is>
          <t>TC-EM-REL-106 — Pass (run 4, 2026-10-06)</t>
        </is>
      </c>
      <c r="M42" s="5" t="inlineStr">
        <is>
          <t>v1.4.1</t>
        </is>
      </c>
    </row>
    <row r="43">
      <c r="A43" s="5" t="inlineStr">
        <is>
          <t>FR-PL-09</t>
        </is>
      </c>
      <c r="B43" s="5" t="inlineStr">
        <is>
          <t>Platform</t>
        </is>
      </c>
      <c r="C43" s="5" t="inlineStr">
        <is>
          <t>Back up and restore customer data</t>
        </is>
      </c>
      <c r="D43" s="5" t="inlineStr">
        <is>
          <t>QMS (G-03); 2025 lesson #18</t>
        </is>
      </c>
      <c r="E43" s="5" t="inlineStr">
        <is>
          <t>2026-09-21</t>
        </is>
      </c>
      <c r="F43" s="5" t="inlineStr">
        <is>
          <t>RV-2026-06</t>
        </is>
      </c>
      <c r="G43" s="5" t="inlineStr">
        <is>
          <t>Must</t>
        </is>
      </c>
      <c r="H43" s="9" t="inlineStr">
        <is>
          <t>Delivered</t>
        </is>
      </c>
      <c r="I43" s="5" t="inlineStr">
        <is>
          <t>2026-09-22 (backup_data.sh, restore_data.sh)</t>
        </is>
      </c>
      <c r="J43" s="5" t="inlineStr">
        <is>
          <t>v1.4.0</t>
        </is>
      </c>
      <c r="K43" s="5" t="inlineStr">
        <is>
          <t>Nightly off-host copy to be installed (R-02)</t>
        </is>
      </c>
      <c r="L43" s="5" t="inlineStr">
        <is>
          <t>TC-EM-BKP-113 — Pass (run 4, 2026-10-06)</t>
        </is>
      </c>
      <c r="M43" s="5" t="inlineStr">
        <is>
          <t>v1.4.0</t>
        </is>
      </c>
    </row>
  </sheetData>
  <autoFilter ref="A4:M43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32" customWidth="1" min="4" max="4"/>
    <col width="13" customWidth="1" min="5" max="5"/>
    <col width="34" customWidth="1" min="6" max="6"/>
    <col width="30" customWidth="1" min="7" max="7"/>
    <col width="13" customWidth="1" min="8" max="8"/>
  </cols>
  <sheetData>
    <row r="1">
      <c r="A1" s="6" t="inlineStr">
        <is>
          <t>Traceability — requirement → review → delivery → verification → release</t>
        </is>
      </c>
    </row>
    <row r="4">
      <c r="A4" s="8" t="inlineStr">
        <is>
          <t>FR ID</t>
        </is>
      </c>
      <c r="B4" s="8" t="inlineStr">
        <is>
          <t>Requirement</t>
        </is>
      </c>
      <c r="C4" s="8" t="inlineStr">
        <is>
          <t>Review</t>
        </is>
      </c>
      <c r="D4" s="8" t="inlineStr">
        <is>
          <t>Delivered</t>
        </is>
      </c>
      <c r="E4" s="8" t="inlineStr">
        <is>
          <t>First version</t>
        </is>
      </c>
      <c r="F4" s="8" t="inlineStr">
        <is>
          <t>Verification</t>
        </is>
      </c>
      <c r="G4" s="8" t="inlineStr">
        <is>
          <t>Result</t>
        </is>
      </c>
      <c r="H4" s="8" t="inlineStr">
        <is>
          <t>Verified in</t>
        </is>
      </c>
    </row>
    <row r="5">
      <c r="A5" s="5" t="inlineStr">
        <is>
          <t>FR-2025-01</t>
        </is>
      </c>
      <c r="B5" s="5" t="inlineStr">
        <is>
          <t>Chat with a local LLM through a web interface</t>
        </is>
      </c>
      <c r="C5" s="5" t="inlineStr">
        <is>
          <t>DR-2025-03</t>
        </is>
      </c>
      <c r="D5" s="5" t="inlineStr">
        <is>
          <t>2025-09 (llama3.1:8b, Streamlit UI)</t>
        </is>
      </c>
      <c r="E5" s="5" t="inlineStr">
        <is>
          <t>2025 appliance</t>
        </is>
      </c>
      <c r="F5" s="5" t="inlineStr">
        <is>
          <t>2025 Test case 1</t>
        </is>
      </c>
      <c r="G5" s="5" t="inlineStr">
        <is>
          <t>UI loading and basic LLM query</t>
        </is>
      </c>
      <c r="H5" s="5" t="inlineStr">
        <is>
          <t>2025 appliance</t>
        </is>
      </c>
    </row>
    <row r="6">
      <c r="A6" s="5" t="inlineStr">
        <is>
          <t>FR-2025-02</t>
        </is>
      </c>
      <c r="B6" s="5" t="inlineStr">
        <is>
          <t>Real-time transcription with contextual questions over the transcript</t>
        </is>
      </c>
      <c r="C6" s="5" t="inlineStr">
        <is>
          <t>DR-2025-03</t>
        </is>
      </c>
      <c r="D6" s="5" t="inlineStr">
        <is>
          <t>2025-09</t>
        </is>
      </c>
      <c r="E6" s="5" t="inlineStr">
        <is>
          <t>2025 appliance</t>
        </is>
      </c>
      <c r="F6" s="5" t="inlineStr">
        <is>
          <t>2025 Test case 2; TC-EM-Transcribe-003</t>
        </is>
      </c>
      <c r="G6" s="5" t="inlineStr">
        <is>
          <t>See verification</t>
        </is>
      </c>
      <c r="H6" s="5" t="inlineStr">
        <is>
          <t>2025 appliance</t>
        </is>
      </c>
    </row>
    <row r="7">
      <c r="A7" s="5" t="inlineStr">
        <is>
          <t>FR-2025-03</t>
        </is>
      </c>
      <c r="B7" s="5" t="inlineStr">
        <is>
          <t>Upload documents into the knowledge base, with an activity record</t>
        </is>
      </c>
      <c r="C7" s="5" t="inlineStr">
        <is>
          <t>DR-2025-07</t>
        </is>
      </c>
      <c r="D7" s="5" t="inlineStr">
        <is>
          <t>2025-09</t>
        </is>
      </c>
      <c r="E7" s="5" t="inlineStr">
        <is>
          <t>2025 appliance</t>
        </is>
      </c>
      <c r="F7" s="5" t="inlineStr">
        <is>
          <t>TC-EM-UI-Upload-001</t>
        </is>
      </c>
      <c r="G7" s="5" t="inlineStr">
        <is>
          <t>See verification</t>
        </is>
      </c>
      <c r="H7" s="5" t="inlineStr">
        <is>
          <t>2025 appliance</t>
        </is>
      </c>
    </row>
    <row r="8">
      <c r="A8" s="5" t="inlineStr">
        <is>
          <t>FR-2025-04</t>
        </is>
      </c>
      <c r="B8" s="5" t="inlineStr">
        <is>
          <t>Containerised service stack (api, ui, vectordb, transcribe, ollama), deployable on site</t>
        </is>
      </c>
      <c r="C8" s="5" t="inlineStr">
        <is>
          <t>DR-2025-07</t>
        </is>
      </c>
      <c r="D8" s="5" t="inlineStr">
        <is>
          <t>2025-09 (Portainer stacks)</t>
        </is>
      </c>
      <c r="E8" s="5" t="inlineStr">
        <is>
          <t>2025 appliance</t>
        </is>
      </c>
      <c r="F8" s="5" t="inlineStr">
        <is>
          <t>TC-EM-Stacks-002</t>
        </is>
      </c>
      <c r="G8" s="5" t="inlineStr">
        <is>
          <t>See verification</t>
        </is>
      </c>
      <c r="H8" s="5" t="inlineStr">
        <is>
          <t>2025 appliance</t>
        </is>
      </c>
    </row>
    <row r="9">
      <c r="A9" s="5" t="inlineStr">
        <is>
          <t>FR-2025-05</t>
        </is>
      </c>
      <c r="B9" s="5" t="inlineStr">
        <is>
          <t>System guide and maintenance manual for the customer</t>
        </is>
      </c>
      <c r="C9" s="5" t="inlineStr">
        <is>
          <t>DR-2025-09</t>
        </is>
      </c>
      <c r="D9" s="5" t="inlineStr">
        <is>
          <t>2026-06-22 USER_MANUAL (dfcf300)</t>
        </is>
      </c>
      <c r="E9" s="5" t="inlineStr">
        <is>
          <t>v1.2.0</t>
        </is>
      </c>
      <c r="F9" s="5" t="inlineStr">
        <is>
          <t>Document review</t>
        </is>
      </c>
      <c r="G9" s="5" t="inlineStr">
        <is>
          <t>See verification</t>
        </is>
      </c>
      <c r="H9" s="5" t="inlineStr">
        <is>
          <t>v1.4.0</t>
        </is>
      </c>
    </row>
    <row r="10">
      <c r="A10" s="5" t="inlineStr">
        <is>
          <t>FR-PL-01</t>
        </is>
      </c>
      <c r="B10" s="5" t="inlineStr">
        <is>
          <t>Run the whole product offline on one portable AI supercomputer (DGX Spark)</t>
        </is>
      </c>
      <c r="C10" s="5" t="inlineStr">
        <is>
          <t>CR-2026-01</t>
        </is>
      </c>
      <c r="D10" s="5" t="inlineStr">
        <is>
          <t>2026-02-05 (4b90b36, c751d79)</t>
        </is>
      </c>
      <c r="E10" s="5" t="inlineStr">
        <is>
          <t>v1.0.0</t>
        </is>
      </c>
      <c r="F10" s="5" t="inlineStr">
        <is>
          <t>TC-EM-OPS-105; Pass (run 4, 2026-10-06)</t>
        </is>
      </c>
      <c r="G10" s="5" t="inlineStr">
        <is>
          <t>See verification</t>
        </is>
      </c>
      <c r="H10" s="5" t="inlineStr">
        <is>
          <t>v1.4.0</t>
        </is>
      </c>
    </row>
    <row r="11">
      <c r="A11" s="5" t="inlineStr">
        <is>
          <t>FR-KC-01</t>
        </is>
      </c>
      <c r="B11" s="5" t="inlineStr">
        <is>
          <t>Upload PDF, DOCX and PPTX and index them for questions</t>
        </is>
      </c>
      <c r="C11" s="5" t="inlineStr">
        <is>
          <t>CR-2026-02</t>
        </is>
      </c>
      <c r="D11" s="5" t="inlineStr">
        <is>
          <t>2026-02-05 (4b90b36)</t>
        </is>
      </c>
      <c r="E11" s="5" t="inlineStr">
        <is>
          <t>v1.0.0</t>
        </is>
      </c>
      <c r="F11" s="5" t="inlineStr">
        <is>
          <t>TC-EM-DOC-102</t>
        </is>
      </c>
      <c r="G11" s="9" t="inlineStr">
        <is>
          <t>Pass (run 4, 2026-10-06)</t>
        </is>
      </c>
      <c r="H11" s="5" t="inlineStr">
        <is>
          <t>v1.4.1</t>
        </is>
      </c>
    </row>
    <row r="12">
      <c r="A12" s="5" t="inlineStr">
        <is>
          <t>FR-KC-02</t>
        </is>
      </c>
      <c r="B12" s="5" t="inlineStr">
        <is>
          <t>Answer from the customer's documents with citations; never invent a source</t>
        </is>
      </c>
      <c r="C12" s="5" t="inlineStr">
        <is>
          <t>CR-2026-02</t>
        </is>
      </c>
      <c r="D12" s="5" t="inlineStr">
        <is>
          <t>2026-02-05 (4b90b36)</t>
        </is>
      </c>
      <c r="E12" s="5" t="inlineStr">
        <is>
          <t>v1.0.0</t>
        </is>
      </c>
      <c r="F12" s="5" t="inlineStr">
        <is>
          <t>TC-EM-RAG-103</t>
        </is>
      </c>
      <c r="G12" s="9" t="inlineStr">
        <is>
          <t>Pass (run 4, 2026-10-06); golden suite</t>
        </is>
      </c>
      <c r="H12" s="5" t="inlineStr">
        <is>
          <t>v1.4.1</t>
        </is>
      </c>
    </row>
    <row r="13">
      <c r="A13" s="5" t="inlineStr">
        <is>
          <t>FR-KC-03</t>
        </is>
      </c>
      <c r="B13" s="5" t="inlineStr">
        <is>
          <t>Stream answers token by token</t>
        </is>
      </c>
      <c r="C13" s="5" t="inlineStr">
        <is>
          <t>—</t>
        </is>
      </c>
      <c r="D13" s="5" t="inlineStr">
        <is>
          <t>2026-02-05 (da4787d)</t>
        </is>
      </c>
      <c r="E13" s="5" t="inlineStr">
        <is>
          <t>v1.0.0</t>
        </is>
      </c>
      <c r="F13" s="5" t="inlineStr">
        <is>
          <t>Unit tests (CI)</t>
        </is>
      </c>
      <c r="G13" s="5" t="inlineStr">
        <is>
          <t>See verification</t>
        </is>
      </c>
      <c r="H13" s="5" t="inlineStr">
        <is>
          <t>v1.4.0</t>
        </is>
      </c>
    </row>
    <row r="14">
      <c r="A14" s="5" t="inlineStr">
        <is>
          <t>FR-KC-04</t>
        </is>
      </c>
      <c r="B14" s="5" t="inlineStr">
        <is>
          <t>Find answers in very large regulations (DoD FMR, ~7,300 pages) by section and table of contents</t>
        </is>
      </c>
      <c r="C14" s="5" t="inlineStr">
        <is>
          <t>CR-2026-02</t>
        </is>
      </c>
      <c r="D14" s="5" t="inlineStr">
        <is>
          <t>2026-03-05 (18715c7, cfe3360); TOC 5057a30 (03-06)</t>
        </is>
      </c>
      <c r="E14" s="5" t="inlineStr">
        <is>
          <t>v1.1.0</t>
        </is>
      </c>
      <c r="F14" s="5" t="inlineStr">
        <is>
          <t>Golden suite 50/52 (2026-07-30)</t>
        </is>
      </c>
      <c r="G14" s="5" t="inlineStr">
        <is>
          <t>See verification</t>
        </is>
      </c>
      <c r="H14" s="5" t="inlineStr">
        <is>
          <t>v1.4.0</t>
        </is>
      </c>
    </row>
    <row r="15">
      <c r="A15" s="5" t="inlineStr">
        <is>
          <t>FR-KC-05</t>
        </is>
      </c>
      <c r="B15" s="5" t="inlineStr">
        <is>
          <t>Personas (financial adviser, lawyer, teacher and others)</t>
        </is>
      </c>
      <c r="C15" s="5" t="inlineStr">
        <is>
          <t>CR-2026-02</t>
        </is>
      </c>
      <c r="D15" s="5" t="inlineStr">
        <is>
          <t>2026-03-08 (95d3512)</t>
        </is>
      </c>
      <c r="E15" s="5" t="inlineStr">
        <is>
          <t>v1.1.0</t>
        </is>
      </c>
      <c r="F15" s="5" t="inlineStr">
        <is>
          <t>Manual check; persona quality overhaul 343117f</t>
        </is>
      </c>
      <c r="G15" s="5" t="inlineStr">
        <is>
          <t>See verification</t>
        </is>
      </c>
      <c r="H15" s="5" t="inlineStr">
        <is>
          <t>v1.4.0</t>
        </is>
      </c>
    </row>
    <row r="16">
      <c r="A16" s="5" t="inlineStr">
        <is>
          <t>FR-KC-06</t>
        </is>
      </c>
      <c r="B16" s="5" t="inlineStr">
        <is>
          <t>Remember the conversation across turns</t>
        </is>
      </c>
      <c r="C16" s="5" t="inlineStr">
        <is>
          <t>—</t>
        </is>
      </c>
      <c r="D16" s="5" t="inlineStr">
        <is>
          <t>2026-02-06 (341b0be)</t>
        </is>
      </c>
      <c r="E16" s="5" t="inlineStr">
        <is>
          <t>v1.0.0</t>
        </is>
      </c>
      <c r="F16" s="5" t="inlineStr">
        <is>
          <t>Golden suite multi-turn items</t>
        </is>
      </c>
      <c r="G16" s="5" t="inlineStr">
        <is>
          <t>See verification</t>
        </is>
      </c>
      <c r="H16" s="5" t="inlineStr">
        <is>
          <t>v1.4.0</t>
        </is>
      </c>
    </row>
    <row r="17">
      <c r="A17" s="5" t="inlineStr">
        <is>
          <t>FR-KC-07</t>
        </is>
      </c>
      <c r="B17" s="5" t="inlineStr">
        <is>
          <t>Separate knowledge bases per vertical / tenant; no cross-tenant answers</t>
        </is>
      </c>
      <c r="C17" s="5" t="inlineStr">
        <is>
          <t>RV-2026-01</t>
        </is>
      </c>
      <c r="D17" s="5" t="inlineStr">
        <is>
          <t>2026-06-27 (2dba137, ef19d68)</t>
        </is>
      </c>
      <c r="E17" s="5" t="inlineStr">
        <is>
          <t>v1.2.0</t>
        </is>
      </c>
      <c r="F17" s="5" t="inlineStr">
        <is>
          <t>TC-EM-ISO-104</t>
        </is>
      </c>
      <c r="G17" s="9" t="inlineStr">
        <is>
          <t>Pass (run 4, 2026-10-06)</t>
        </is>
      </c>
      <c r="H17" s="5" t="inlineStr">
        <is>
          <t>v1.4.1</t>
        </is>
      </c>
    </row>
    <row r="18">
      <c r="A18" s="5" t="inlineStr">
        <is>
          <t>FR-KC-08</t>
        </is>
      </c>
      <c r="B18" s="5" t="inlineStr">
        <is>
          <t>Manage chats (list, rename, delete)</t>
        </is>
      </c>
      <c r="C18" s="5" t="inlineStr">
        <is>
          <t>—</t>
        </is>
      </c>
      <c r="D18" s="5" t="inlineStr">
        <is>
          <t>2026-03-09 (2b9730b)</t>
        </is>
      </c>
      <c r="E18" s="5" t="inlineStr">
        <is>
          <t>v1.1.0</t>
        </is>
      </c>
      <c r="F18" s="5" t="inlineStr">
        <is>
          <t>Manual check</t>
        </is>
      </c>
      <c r="G18" s="5" t="inlineStr">
        <is>
          <t>See verification</t>
        </is>
      </c>
      <c r="H18" s="5" t="inlineStr">
        <is>
          <t>v1.4.0</t>
        </is>
      </c>
    </row>
    <row r="19">
      <c r="A19" s="5" t="inlineStr">
        <is>
          <t>FR-LT-01</t>
        </is>
      </c>
      <c r="B19" s="5" t="inlineStr">
        <is>
          <t>Show a live transcript while people speak</t>
        </is>
      </c>
      <c r="C19" s="5" t="inlineStr">
        <is>
          <t>CR-2026-06</t>
        </is>
      </c>
      <c r="D19" s="5" t="inlineStr">
        <is>
          <t>2026-02-05 (4b90b36)</t>
        </is>
      </c>
      <c r="E19" s="5" t="inlineStr">
        <is>
          <t>v1.0.0</t>
        </is>
      </c>
      <c r="F19" s="5" t="inlineStr">
        <is>
          <t>TC-EM-TRN-112</t>
        </is>
      </c>
      <c r="G19" s="10" t="inlineStr">
        <is>
          <t>Not executed (run 4, 2026-10-06)</t>
        </is>
      </c>
      <c r="H19" s="5" t="inlineStr">
        <is>
          <t>v1.4.1</t>
        </is>
      </c>
    </row>
    <row r="20">
      <c r="A20" s="5" t="inlineStr">
        <is>
          <t>FR-LT-02</t>
        </is>
      </c>
      <c r="B20" s="5" t="inlineStr">
        <is>
          <t>Accurate final transcript for domain terms, with automatic fallback to the streaming model</t>
        </is>
      </c>
      <c r="C20" s="5" t="inlineStr">
        <is>
          <t>CR-2026-06</t>
        </is>
      </c>
      <c r="D20" s="5" t="inlineStr">
        <is>
          <t>2026-06-26 (b6a70d8, 3a6b1f9)</t>
        </is>
      </c>
      <c r="E20" s="5" t="inlineStr">
        <is>
          <t>v1.2.0</t>
        </is>
      </c>
      <c r="F20" s="5" t="inlineStr">
        <is>
          <t>Voice end-to-end test 8e6d984; unit tests</t>
        </is>
      </c>
      <c r="G20" s="5" t="inlineStr">
        <is>
          <t>See verification</t>
        </is>
      </c>
      <c r="H20" s="5" t="inlineStr">
        <is>
          <t>v1.4.0</t>
        </is>
      </c>
    </row>
    <row r="21">
      <c r="A21" s="5" t="inlineStr">
        <is>
          <t>FR-LT-03</t>
        </is>
      </c>
      <c r="B21" s="5" t="inlineStr">
        <is>
          <t>Store transcripts into the knowledge base automatically</t>
        </is>
      </c>
      <c r="C21" s="5" t="inlineStr">
        <is>
          <t>—</t>
        </is>
      </c>
      <c r="D21" s="5" t="inlineStr">
        <is>
          <t>2026-02-27 (223714c)</t>
        </is>
      </c>
      <c r="E21" s="5" t="inlineStr">
        <is>
          <t>v1.0.0</t>
        </is>
      </c>
      <c r="F21" s="5" t="inlineStr">
        <is>
          <t>Unit tests</t>
        </is>
      </c>
      <c r="G21" s="5" t="inlineStr">
        <is>
          <t>See verification</t>
        </is>
      </c>
      <c r="H21" s="5" t="inlineStr">
        <is>
          <t>v1.4.0</t>
        </is>
      </c>
    </row>
    <row r="22">
      <c r="A22" s="5" t="inlineStr">
        <is>
          <t>FR-LT-04</t>
        </is>
      </c>
      <c r="B22" s="5" t="inlineStr">
        <is>
          <t>Word cloud of the live conversation</t>
        </is>
      </c>
      <c r="C22" s="5" t="inlineStr">
        <is>
          <t>—</t>
        </is>
      </c>
      <c r="D22" s="5" t="inlineStr">
        <is>
          <t>2026-03-09 (5d64088)</t>
        </is>
      </c>
      <c r="E22" s="5" t="inlineStr">
        <is>
          <t>v1.1.0</t>
        </is>
      </c>
      <c r="F22" s="5" t="inlineStr">
        <is>
          <t>Manual check</t>
        </is>
      </c>
      <c r="G22" s="5" t="inlineStr">
        <is>
          <t>See verification</t>
        </is>
      </c>
      <c r="H22" s="5" t="inlineStr">
        <is>
          <t>v1.4.0</t>
        </is>
      </c>
    </row>
    <row r="23">
      <c r="A23" s="5" t="inlineStr">
        <is>
          <t>FR-SA-01</t>
        </is>
      </c>
      <c r="B23" s="5" t="inlineStr">
        <is>
          <t>Listen during a conversation and put supporting data on screen without speaking</t>
        </is>
      </c>
      <c r="C23" s="5" t="inlineStr">
        <is>
          <t>CR-2026-07</t>
        </is>
      </c>
      <c r="D23" s="5" t="inlineStr">
        <is>
          <t>2026-05-11 (ec9b180)</t>
        </is>
      </c>
      <c r="E23" s="5" t="inlineStr">
        <is>
          <t>v1.2.0</t>
        </is>
      </c>
      <c r="F23" s="5" t="inlineStr">
        <is>
          <t>Unit tests; scenario harness</t>
        </is>
      </c>
      <c r="G23" s="5" t="inlineStr">
        <is>
          <t>See verification</t>
        </is>
      </c>
      <c r="H23" s="5" t="inlineStr">
        <is>
          <t>v1.4.0</t>
        </is>
      </c>
    </row>
    <row r="24">
      <c r="A24" s="5" t="inlineStr">
        <is>
          <t>FR-SA-02</t>
        </is>
      </c>
      <c r="B24" s="5" t="inlineStr">
        <is>
          <t>Rule packs per vertical (law and others)</t>
        </is>
      </c>
      <c r="C24" s="5" t="inlineStr">
        <is>
          <t>CR-2026-07</t>
        </is>
      </c>
      <c r="D24" s="5" t="inlineStr">
        <is>
          <t>2026-06-27 (f75121b)</t>
        </is>
      </c>
      <c r="E24" s="5" t="inlineStr">
        <is>
          <t>v1.2.0</t>
        </is>
      </c>
      <c r="F24" s="5" t="inlineStr">
        <is>
          <t>Unit tests</t>
        </is>
      </c>
      <c r="G24" s="5" t="inlineStr">
        <is>
          <t>See verification</t>
        </is>
      </c>
      <c r="H24" s="5" t="inlineStr">
        <is>
          <t>v1.4.0</t>
        </is>
      </c>
    </row>
    <row r="25">
      <c r="A25" s="5" t="inlineStr">
        <is>
          <t>FR-SA-03</t>
        </is>
      </c>
      <c r="B25" s="5" t="inlineStr">
        <is>
          <t>Check each sentence and show quoted proof from the documents</t>
        </is>
      </c>
      <c r="C25" s="5" t="inlineStr">
        <is>
          <t>CR-2026-07</t>
        </is>
      </c>
      <c r="D25" s="5" t="inlineStr">
        <is>
          <t>2026-08-16 (7f2658a)</t>
        </is>
      </c>
      <c r="E25" s="5" t="inlineStr">
        <is>
          <t>v1.3.0</t>
        </is>
      </c>
      <c r="F25" s="5" t="inlineStr">
        <is>
          <t>Scenario harness (silent-assistant v2)</t>
        </is>
      </c>
      <c r="G25" s="5" t="inlineStr">
        <is>
          <t>See verification</t>
        </is>
      </c>
      <c r="H25" s="5" t="inlineStr">
        <is>
          <t>v1.4.0</t>
        </is>
      </c>
    </row>
    <row r="26">
      <c r="A26" s="5" t="inlineStr">
        <is>
          <t>FR-BR-01</t>
        </is>
      </c>
      <c r="B26" s="5" t="inlineStr">
        <is>
          <t>Record a meeting and produce a speaker-separated transcript</t>
        </is>
      </c>
      <c r="C26" s="5" t="inlineStr">
        <is>
          <t>CR-2026-08</t>
        </is>
      </c>
      <c r="D26" s="5" t="inlineStr">
        <is>
          <t>2026-05-14 (f540976); 05-19 cf463aa</t>
        </is>
      </c>
      <c r="E26" s="5" t="inlineStr">
        <is>
          <t>v1.2.0</t>
        </is>
      </c>
      <c r="F26" s="5" t="inlineStr">
        <is>
          <t>TC-EM-BRD-111</t>
        </is>
      </c>
      <c r="G26" s="9" t="inlineStr">
        <is>
          <t>Pass (run 4, 2026-10-06)</t>
        </is>
      </c>
      <c r="H26" s="5" t="inlineStr">
        <is>
          <t>v1.4.1</t>
        </is>
      </c>
    </row>
    <row r="27">
      <c r="A27" s="5" t="inlineStr">
        <is>
          <t>FR-BR-02</t>
        </is>
      </c>
      <c r="B27" s="5" t="inlineStr">
        <is>
          <t>Generate a meeting report and export it as PDF or PPTX</t>
        </is>
      </c>
      <c r="C27" s="5" t="inlineStr">
        <is>
          <t>CR-2026-08</t>
        </is>
      </c>
      <c r="D27" s="5" t="inlineStr">
        <is>
          <t>2026-05-14 (f540976)</t>
        </is>
      </c>
      <c r="E27" s="5" t="inlineStr">
        <is>
          <t>v1.2.0</t>
        </is>
      </c>
      <c r="F27" s="5" t="inlineStr">
        <is>
          <t>TC-EM-BRD-111</t>
        </is>
      </c>
      <c r="G27" s="9" t="inlineStr">
        <is>
          <t>Pass (run 4, 2026-10-06)</t>
        </is>
      </c>
      <c r="H27" s="5" t="inlineStr">
        <is>
          <t>v1.4.1</t>
        </is>
      </c>
    </row>
    <row r="28">
      <c r="A28" s="5" t="inlineStr">
        <is>
          <t>FR-VC-01</t>
        </is>
      </c>
      <c r="B28" s="5" t="inlineStr">
        <is>
          <t>Natural spoken conversation grounded in the customer's knowledge base</t>
        </is>
      </c>
      <c r="C28" s="5" t="inlineStr">
        <is>
          <t>CR-2026-04</t>
        </is>
      </c>
      <c r="D28" s="5" t="inlineStr">
        <is>
          <t>2026-04-08 (ddc0aa3) — own dual loop</t>
        </is>
      </c>
      <c r="E28" s="5" t="inlineStr">
        <is>
          <t>v1.1.0</t>
        </is>
      </c>
      <c r="F28" s="5" t="inlineStr">
        <is>
          <t>Paper E4/E7 (2026-08-07); 12 spoken turns (09-21)</t>
        </is>
      </c>
      <c r="G28" s="5" t="inlineStr">
        <is>
          <t>See verification</t>
        </is>
      </c>
      <c r="H28" s="5" t="inlineStr">
        <is>
          <t>v1.4.0</t>
        </is>
      </c>
    </row>
    <row r="29">
      <c r="A29" s="5" t="inlineStr">
        <is>
          <t>FR-VC-02</t>
        </is>
      </c>
      <c r="B29" s="5" t="inlineStr">
        <is>
          <t>Interrupt the assistant by speaking (barge-in)</t>
        </is>
      </c>
      <c r="C29" s="5" t="inlineStr">
        <is>
          <t>CR-2026-03</t>
        </is>
      </c>
      <c r="D29" s="5" t="inlineStr">
        <is>
          <t>2026-02-06 (65e01ec)</t>
        </is>
      </c>
      <c r="E29" s="5" t="inlineStr">
        <is>
          <t>v1.0.0</t>
        </is>
      </c>
      <c r="F29" s="5" t="inlineStr">
        <is>
          <t>Paper E7: success 1.00; stop time 2.13 s (NFR-P07 open)</t>
        </is>
      </c>
      <c r="G29" s="5" t="inlineStr">
        <is>
          <t>See verification</t>
        </is>
      </c>
      <c r="H29" s="5" t="inlineStr">
        <is>
          <t>v1.4.0</t>
        </is>
      </c>
    </row>
    <row r="30">
      <c r="A30" s="5" t="inlineStr">
        <is>
          <t>FR-VC-03</t>
        </is>
      </c>
      <c r="B30" s="5" t="inlineStr">
        <is>
          <t>Personal assistant: wake word, listen-only mode, memory of what was said</t>
        </is>
      </c>
      <c r="C30" s="5" t="inlineStr">
        <is>
          <t>CR-2026-02</t>
        </is>
      </c>
      <c r="D30" s="5" t="inlineStr">
        <is>
          <t>2026-02-25 (e0ca515, a1fd76b) — available before the request</t>
        </is>
      </c>
      <c r="E30" s="5" t="inlineStr">
        <is>
          <t>v1.0.0</t>
        </is>
      </c>
      <c r="F30" s="5" t="inlineStr">
        <is>
          <t>Manual check</t>
        </is>
      </c>
      <c r="G30" s="5" t="inlineStr">
        <is>
          <t>See verification</t>
        </is>
      </c>
      <c r="H30" s="5" t="inlineStr">
        <is>
          <t>v1.4.0</t>
        </is>
      </c>
    </row>
    <row r="31">
      <c r="A31" s="5" t="inlineStr">
        <is>
          <t>FR-VC-04</t>
        </is>
      </c>
      <c r="B31" s="5" t="inlineStr">
        <is>
          <t>Choice of voices and TTS engine</t>
        </is>
      </c>
      <c r="C31" s="5" t="inlineStr">
        <is>
          <t>—</t>
        </is>
      </c>
      <c r="D31" s="5" t="inlineStr">
        <is>
          <t>2026-06-27 (52e6db9, 4bc0d58)</t>
        </is>
      </c>
      <c r="E31" s="5" t="inlineStr">
        <is>
          <t>v1.2.0</t>
        </is>
      </c>
      <c r="F31" s="5" t="inlineStr">
        <is>
          <t>Manual check</t>
        </is>
      </c>
      <c r="G31" s="5" t="inlineStr">
        <is>
          <t>See verification</t>
        </is>
      </c>
      <c r="H31" s="5" t="inlineStr">
        <is>
          <t>v1.4.0</t>
        </is>
      </c>
    </row>
    <row r="32">
      <c r="A32" s="5" t="inlineStr">
        <is>
          <t>FR-DS-01</t>
        </is>
      </c>
      <c r="B32" s="5" t="inlineStr">
        <is>
          <t>Create documents from a topic, a chat or uploaded documents</t>
        </is>
      </c>
      <c r="C32" s="5" t="inlineStr">
        <is>
          <t>CR-2026-09</t>
        </is>
      </c>
      <c r="D32" s="5" t="inlineStr">
        <is>
          <t>2026-06-20 (2d23f40)</t>
        </is>
      </c>
      <c r="E32" s="5" t="inlineStr">
        <is>
          <t>v1.2.0</t>
        </is>
      </c>
      <c r="F32" s="5" t="inlineStr">
        <is>
          <t>TC-EM-DGEN-110</t>
        </is>
      </c>
      <c r="G32" s="9" t="inlineStr">
        <is>
          <t>Pass (run 4, 2026-10-06)</t>
        </is>
      </c>
      <c r="H32" s="5" t="inlineStr">
        <is>
          <t>v1.4.1</t>
        </is>
      </c>
    </row>
    <row r="33">
      <c r="A33" s="5" t="inlineStr">
        <is>
          <t>FR-DS-02</t>
        </is>
      </c>
      <c r="B33" s="5" t="inlineStr">
        <is>
          <t>Export as PDF and PPTX, made locally</t>
        </is>
      </c>
      <c r="C33" s="5" t="inlineStr">
        <is>
          <t>CR-2026-09</t>
        </is>
      </c>
      <c r="D33" s="5" t="inlineStr">
        <is>
          <t>2026-06-20 (2d23f40)</t>
        </is>
      </c>
      <c r="E33" s="5" t="inlineStr">
        <is>
          <t>v1.2.0</t>
        </is>
      </c>
      <c r="F33" s="5" t="inlineStr">
        <is>
          <t>TC-EM-DGEN-110</t>
        </is>
      </c>
      <c r="G33" s="9" t="inlineStr">
        <is>
          <t>Pass (run 4, 2026-10-06)</t>
        </is>
      </c>
      <c r="H33" s="5" t="inlineStr">
        <is>
          <t>v1.4.1</t>
        </is>
      </c>
    </row>
    <row r="34">
      <c r="A34" s="5" t="inlineStr">
        <is>
          <t>FR-DS-03</t>
        </is>
      </c>
      <c r="B34" s="5" t="inlineStr">
        <is>
          <t>Generated images, made on the device</t>
        </is>
      </c>
      <c r="C34" s="5" t="inlineStr">
        <is>
          <t>CR-2026-09</t>
        </is>
      </c>
      <c r="D34" s="5" t="inlineStr">
        <is>
          <t>2026-06-20 (2d23f40) — SDXL-Turbo</t>
        </is>
      </c>
      <c r="E34" s="5" t="inlineStr">
        <is>
          <t>v1.2.0</t>
        </is>
      </c>
      <c r="F34" s="5" t="inlineStr">
        <is>
          <t>Manual check (image status endpoint)</t>
        </is>
      </c>
      <c r="G34" s="5" t="inlineStr">
        <is>
          <t>See verification</t>
        </is>
      </c>
      <c r="H34" s="5" t="inlineStr">
        <is>
          <t>v1.4.0</t>
        </is>
      </c>
    </row>
    <row r="35">
      <c r="A35" s="5" t="inlineStr">
        <is>
          <t>FR-DS-04</t>
        </is>
      </c>
      <c r="B35" s="5" t="inlineStr">
        <is>
          <t>Work with or without a template; upload your own template</t>
        </is>
      </c>
      <c r="C35" s="5" t="inlineStr">
        <is>
          <t>CR-2026-09</t>
        </is>
      </c>
      <c r="D35" s="5" t="inlineStr">
        <is>
          <t>2026-06-27 (66356f9)</t>
        </is>
      </c>
      <c r="E35" s="5" t="inlineStr">
        <is>
          <t>v1.2.0</t>
        </is>
      </c>
      <c r="F35" s="5" t="inlineStr">
        <is>
          <t>TC-EM-DGEN-110</t>
        </is>
      </c>
      <c r="G35" s="9" t="inlineStr">
        <is>
          <t>Pass (run 4, 2026-10-06)</t>
        </is>
      </c>
      <c r="H35" s="5" t="inlineStr">
        <is>
          <t>v1.4.1</t>
        </is>
      </c>
    </row>
    <row r="36">
      <c r="A36" s="5" t="inlineStr">
        <is>
          <t>FR-PL-02</t>
        </is>
      </c>
      <c r="B36" s="5" t="inlineStr">
        <is>
          <t>Login, roles and admin user management</t>
        </is>
      </c>
      <c r="C36" s="5" t="inlineStr">
        <is>
          <t>SR-2026-01</t>
        </is>
      </c>
      <c r="D36" s="5" t="inlineStr">
        <is>
          <t>2026-06-27 (c9bad3d, d12db42, 7a83262)</t>
        </is>
      </c>
      <c r="E36" s="5" t="inlineStr">
        <is>
          <t>v1.2.0</t>
        </is>
      </c>
      <c r="F36" s="5" t="inlineStr">
        <is>
          <t>TC-EM-AUTH-101</t>
        </is>
      </c>
      <c r="G36" s="9" t="inlineStr">
        <is>
          <t>Pass (run 4, 2026-10-06)</t>
        </is>
      </c>
      <c r="H36" s="5" t="inlineStr">
        <is>
          <t>v1.4.1</t>
        </is>
      </c>
    </row>
    <row r="37">
      <c r="A37" s="5" t="inlineStr">
        <is>
          <t>FR-PL-03</t>
        </is>
      </c>
      <c r="B37" s="5" t="inlineStr">
        <is>
          <t>Activity log of who did what</t>
        </is>
      </c>
      <c r="C37" s="5" t="inlineStr">
        <is>
          <t>—</t>
        </is>
      </c>
      <c r="D37" s="5" t="inlineStr">
        <is>
          <t>2026-06-27 (ac26d41)</t>
        </is>
      </c>
      <c r="E37" s="5" t="inlineStr">
        <is>
          <t>v1.2.0</t>
        </is>
      </c>
      <c r="F37" s="5" t="inlineStr">
        <is>
          <t>TC-EM-AUTH-101</t>
        </is>
      </c>
      <c r="G37" s="9" t="inlineStr">
        <is>
          <t>Pass (run 4, 2026-10-06) (AC-101.8)</t>
        </is>
      </c>
      <c r="H37" s="5" t="inlineStr">
        <is>
          <t>v1.4.1</t>
        </is>
      </c>
    </row>
    <row r="38">
      <c r="A38" s="5" t="inlineStr">
        <is>
          <t>FR-PL-04</t>
        </is>
      </c>
      <c r="B38" s="5" t="inlineStr">
        <is>
          <t>Export gateway that finds and redacts personal data and keys before content leaves</t>
        </is>
      </c>
      <c r="C38" s="5" t="inlineStr">
        <is>
          <t>—</t>
        </is>
      </c>
      <c r="D38" s="5" t="inlineStr">
        <is>
          <t>2026-06-27 (d19177d)</t>
        </is>
      </c>
      <c r="E38" s="5" t="inlineStr">
        <is>
          <t>v1.2.0</t>
        </is>
      </c>
      <c r="F38" s="5" t="inlineStr">
        <is>
          <t>TC-EM-EXP-108</t>
        </is>
      </c>
      <c r="G38" s="9" t="inlineStr">
        <is>
          <t>Pass (run 4, 2026-10-06)</t>
        </is>
      </c>
      <c r="H38" s="5" t="inlineStr">
        <is>
          <t>v1.4.1</t>
        </is>
      </c>
    </row>
    <row r="39">
      <c r="A39" s="5" t="inlineStr">
        <is>
          <t>FR-PL-05</t>
        </is>
      </c>
      <c r="B39" s="5" t="inlineStr">
        <is>
          <t>Vertical packs (banking, health, law, meetings, retail)</t>
        </is>
      </c>
      <c r="C39" s="5" t="inlineStr">
        <is>
          <t>—</t>
        </is>
      </c>
      <c r="D39" s="5" t="inlineStr">
        <is>
          <t>2026-06-27 (e8ead2f, c6b834d)</t>
        </is>
      </c>
      <c r="E39" s="5" t="inlineStr">
        <is>
          <t>v1.2.0</t>
        </is>
      </c>
      <c r="F39" s="5" t="inlineStr">
        <is>
          <t>Manual check</t>
        </is>
      </c>
      <c r="G39" s="5" t="inlineStr">
        <is>
          <t>See verification</t>
        </is>
      </c>
      <c r="H39" s="5" t="inlineStr">
        <is>
          <t>v1.4.0</t>
        </is>
      </c>
    </row>
    <row r="40">
      <c r="A40" s="5" t="inlineStr">
        <is>
          <t>FR-PL-06</t>
        </is>
      </c>
      <c r="B40" s="5" t="inlineStr">
        <is>
          <t>Reach a deployed unit on site with no network: hotspot and landing page at boot</t>
        </is>
      </c>
      <c r="C40" s="5" t="inlineStr">
        <is>
          <t>CR-2026-05</t>
        </is>
      </c>
      <c r="D40" s="5" t="inlineStr">
        <is>
          <t>2026-04 — on the deployment unit</t>
        </is>
      </c>
      <c r="E40" s="5" t="inlineStr">
        <is>
          <t>v1.1.0</t>
        </is>
      </c>
      <c r="F40" s="5" t="inlineStr">
        <is>
          <t>Demonstrated on the unit; record to be added (AC-26)</t>
        </is>
      </c>
      <c r="G40" s="5" t="inlineStr">
        <is>
          <t>See verification</t>
        </is>
      </c>
      <c r="H40" s="5" t="inlineStr">
        <is>
          <t>Deployment unit</t>
        </is>
      </c>
    </row>
    <row r="41">
      <c r="A41" s="5" t="inlineStr">
        <is>
          <t>FR-PL-07</t>
        </is>
      </c>
      <c r="B41" s="5" t="inlineStr">
        <is>
          <t>Public reference instance for demonstrations</t>
        </is>
      </c>
      <c r="C41" s="5" t="inlineStr">
        <is>
          <t>—</t>
        </is>
      </c>
      <c r="D41" s="5" t="inlineStr">
        <is>
          <t>2026-06-24 (7c521f3)</t>
        </is>
      </c>
      <c r="E41" s="5" t="inlineStr">
        <is>
          <t>v1.2.0</t>
        </is>
      </c>
      <c r="F41" s="5" t="inlineStr">
        <is>
          <t>External gate check (every 6 h)</t>
        </is>
      </c>
      <c r="G41" s="5" t="inlineStr">
        <is>
          <t>See verification</t>
        </is>
      </c>
      <c r="H41" s="5" t="inlineStr">
        <is>
          <t>v1.4.1</t>
        </is>
      </c>
    </row>
    <row r="42">
      <c r="A42" s="5" t="inlineStr">
        <is>
          <t>FR-PL-08</t>
        </is>
      </c>
      <c r="B42" s="5" t="inlineStr">
        <is>
          <t>Report the running version and commit</t>
        </is>
      </c>
      <c r="C42" s="5" t="inlineStr">
        <is>
          <t>RV-2026-06</t>
        </is>
      </c>
      <c r="D42" s="5" t="inlineStr">
        <is>
          <t>2026-09-22 (51fd3bc)</t>
        </is>
      </c>
      <c r="E42" s="5" t="inlineStr">
        <is>
          <t>v1.4.0</t>
        </is>
      </c>
      <c r="F42" s="5" t="inlineStr">
        <is>
          <t>TC-EM-REL-106</t>
        </is>
      </c>
      <c r="G42" s="9" t="inlineStr">
        <is>
          <t>Pass (run 4, 2026-10-06)</t>
        </is>
      </c>
      <c r="H42" s="5" t="inlineStr">
        <is>
          <t>v1.4.1</t>
        </is>
      </c>
    </row>
    <row r="43">
      <c r="A43" s="5" t="inlineStr">
        <is>
          <t>FR-PL-09</t>
        </is>
      </c>
      <c r="B43" s="5" t="inlineStr">
        <is>
          <t>Back up and restore customer data</t>
        </is>
      </c>
      <c r="C43" s="5" t="inlineStr">
        <is>
          <t>RV-2026-06</t>
        </is>
      </c>
      <c r="D43" s="5" t="inlineStr">
        <is>
          <t>2026-09-22 (backup_data.sh, restore_data.sh)</t>
        </is>
      </c>
      <c r="E43" s="5" t="inlineStr">
        <is>
          <t>v1.4.0</t>
        </is>
      </c>
      <c r="F43" s="5" t="inlineStr">
        <is>
          <t>TC-EM-BKP-113</t>
        </is>
      </c>
      <c r="G43" s="9" t="inlineStr">
        <is>
          <t>Pass (run 4, 2026-10-06)</t>
        </is>
      </c>
      <c r="H43" s="5" t="inlineStr">
        <is>
          <t>v1.4.0</t>
        </is>
      </c>
    </row>
  </sheetData>
  <autoFilter ref="A4:H43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70" customWidth="1" min="4" max="4"/>
    <col width="12" customWidth="1" min="5" max="5"/>
    <col width="24" customWidth="1" min="6" max="6"/>
    <col width="30" customWidth="1" min="7" max="7"/>
  </cols>
  <sheetData>
    <row r="1">
      <c r="A1" s="6" t="inlineStr">
        <is>
          <t>Requirement changes (ISO 9001 8.2.4)</t>
        </is>
      </c>
    </row>
    <row r="4">
      <c r="A4" s="8" t="inlineStr">
        <is>
          <t>Change ID</t>
        </is>
      </c>
      <c r="B4" s="8" t="inlineStr">
        <is>
          <t>Date</t>
        </is>
      </c>
      <c r="C4" s="8" t="inlineStr">
        <is>
          <t>Requirements</t>
        </is>
      </c>
      <c r="D4" s="8" t="inlineStr">
        <is>
          <t>Change</t>
        </is>
      </c>
      <c r="E4" s="8" t="inlineStr">
        <is>
          <t>Review</t>
        </is>
      </c>
      <c r="F4" s="8" t="inlineStr">
        <is>
          <t>Requested by</t>
        </is>
      </c>
      <c r="G4" s="8" t="inlineStr">
        <is>
          <t>Status</t>
        </is>
      </c>
    </row>
    <row r="5">
      <c r="A5" s="5" t="inlineStr">
        <is>
          <t>RC-2025-01</t>
        </is>
      </c>
      <c r="B5" s="5" t="inlineStr">
        <is>
          <t>2025-08-05</t>
        </is>
      </c>
      <c r="C5" s="5" t="inlineStr">
        <is>
          <t>FR-2025-01…04</t>
        </is>
      </c>
      <c r="D5" s="5" t="inlineStr">
        <is>
          <t>Requirements fixed in the signed SOW (offline on-premises system, BYOA pilot)</t>
        </is>
      </c>
      <c r="E5" s="5" t="inlineStr">
        <is>
          <t>DR-2025-09</t>
        </is>
      </c>
      <c r="F5" s="5" t="inlineStr">
        <is>
          <t>2025 university pilot customer; AJACE</t>
        </is>
      </c>
      <c r="G5" s="5" t="inlineStr">
        <is>
          <t>SOW signed</t>
        </is>
      </c>
    </row>
    <row r="6">
      <c r="A6" s="5" t="inlineStr">
        <is>
          <t>RC-2026-01</t>
        </is>
      </c>
      <c r="B6" s="5" t="inlineStr">
        <is>
          <t>2026-01</t>
        </is>
      </c>
      <c r="C6" s="5" t="inlineStr">
        <is>
          <t>FR-PL-01</t>
        </is>
      </c>
      <c r="D6" s="5" t="inlineStr">
        <is>
          <t>Platform changed from a single RTX 4090 PC to a DGX Spark</t>
        </is>
      </c>
      <c r="E6" s="5" t="inlineStr">
        <is>
          <t>CR-2026-01</t>
        </is>
      </c>
      <c r="F6" s="5" t="inlineStr">
        <is>
          <t>EchoMind team</t>
        </is>
      </c>
      <c r="G6" s="9" t="inlineStr">
        <is>
          <t>Implemented 2026-02-05</t>
        </is>
      </c>
    </row>
    <row r="7">
      <c r="A7" s="5" t="inlineStr">
        <is>
          <t>RC-2026-02</t>
        </is>
      </c>
      <c r="B7" s="5" t="inlineStr">
        <is>
          <t>2026-03</t>
        </is>
      </c>
      <c r="C7" s="5" t="inlineStr">
        <is>
          <t>FR-VC-01</t>
        </is>
      </c>
      <c r="D7" s="5" t="inlineStr">
        <is>
          <t>Conversation must be natural and fast — Unmute stack replaced by PersonaPlex</t>
        </is>
      </c>
      <c r="E7" s="5" t="inlineStr">
        <is>
          <t>CR-2026-03</t>
        </is>
      </c>
      <c r="F7" s="5" t="inlineStr">
        <is>
          <t>Clients A and B</t>
        </is>
      </c>
      <c r="G7" s="9" t="inlineStr">
        <is>
          <t>Implemented; superseded by RC-2026-03</t>
        </is>
      </c>
    </row>
    <row r="8">
      <c r="A8" s="5" t="inlineStr">
        <is>
          <t>RC-2026-03</t>
        </is>
      </c>
      <c r="B8" s="5" t="inlineStr">
        <is>
          <t>2026-04</t>
        </is>
      </c>
      <c r="C8" s="5" t="inlineStr">
        <is>
          <t>FR-VC-01</t>
        </is>
      </c>
      <c r="D8" s="5" t="inlineStr">
        <is>
          <t>Conversation must use the customer's large knowledge base — own dual-loop architecture</t>
        </is>
      </c>
      <c r="E8" s="5" t="inlineStr">
        <is>
          <t>CR-2026-04</t>
        </is>
      </c>
      <c r="F8" s="5" t="inlineStr">
        <is>
          <t>Clients A and B</t>
        </is>
      </c>
      <c r="G8" s="9" t="inlineStr">
        <is>
          <t>Implemented 2026-04-08</t>
        </is>
      </c>
    </row>
    <row r="9">
      <c r="A9" s="5" t="inlineStr">
        <is>
          <t>RC-2026-04</t>
        </is>
      </c>
      <c r="B9" s="5" t="inlineStr">
        <is>
          <t>2026-03 → 07</t>
        </is>
      </c>
      <c r="C9" s="5" t="inlineStr">
        <is>
          <t>FR-KC-04</t>
        </is>
      </c>
      <c r="D9" s="5" t="inlineStr">
        <is>
          <t>DoD FMR retrieval: BookRAG and PageIndex tried; section-based retrieval kept; BookRAG switched off as it measured worse (43/52 vs 50/52)</t>
        </is>
      </c>
      <c r="E9" s="5" t="inlineStr">
        <is>
          <t>CR-2026-02</t>
        </is>
      </c>
      <c r="F9" s="5" t="inlineStr">
        <is>
          <t>EchoMind team</t>
        </is>
      </c>
      <c r="G9" s="9" t="inlineStr">
        <is>
          <t>Implemented 2026-07-30 (2decb99)</t>
        </is>
      </c>
    </row>
    <row r="10">
      <c r="A10" s="5" t="inlineStr">
        <is>
          <t>RC-2026-05</t>
        </is>
      </c>
      <c r="B10" s="5" t="inlineStr">
        <is>
          <t>2026-04</t>
        </is>
      </c>
      <c r="C10" s="5" t="inlineStr">
        <is>
          <t>FR-LT-01, FR-LT-02</t>
        </is>
      </c>
      <c r="D10" s="5" t="inlineStr">
        <is>
          <t>Transcript accuracy and speed: Whisper → Nemotron; Parakeet final with fallback; chat Ollama → TensorRT-LLM</t>
        </is>
      </c>
      <c r="E10" s="5" t="inlineStr">
        <is>
          <t>CR-2026-06</t>
        </is>
      </c>
      <c r="F10" s="5" t="inlineStr">
        <is>
          <t>Client A</t>
        </is>
      </c>
      <c r="G10" s="9" t="inlineStr">
        <is>
          <t>Implemented 2026-04-08 → 07-29</t>
        </is>
      </c>
    </row>
    <row r="11">
      <c r="A11" s="5" t="inlineStr">
        <is>
          <t>RC-2026-06</t>
        </is>
      </c>
      <c r="B11" s="5" t="inlineStr">
        <is>
          <t>2026-05</t>
        </is>
      </c>
      <c r="C11" s="5" t="inlineStr">
        <is>
          <t>FR-SA-01…03</t>
        </is>
      </c>
      <c r="D11" s="5" t="inlineStr">
        <is>
          <t>New listen-only mode that never replies</t>
        </is>
      </c>
      <c r="E11" s="5" t="inlineStr">
        <is>
          <t>CR-2026-07</t>
        </is>
      </c>
      <c r="F11" s="5" t="inlineStr">
        <is>
          <t>Client C</t>
        </is>
      </c>
      <c r="G11" s="9" t="inlineStr">
        <is>
          <t>Implemented 2026-05-11 → 08-16</t>
        </is>
      </c>
    </row>
    <row r="12">
      <c r="A12" s="5" t="inlineStr">
        <is>
          <t>RC-2026-07</t>
        </is>
      </c>
      <c r="B12" s="5" t="inlineStr">
        <is>
          <t>2026-06</t>
        </is>
      </c>
      <c r="C12" s="5" t="inlineStr">
        <is>
          <t>FR-DS-01…04</t>
        </is>
      </c>
      <c r="D12" s="5" t="inlineStr">
        <is>
          <t>New document studio with and without templates</t>
        </is>
      </c>
      <c r="E12" s="5" t="inlineStr">
        <is>
          <t>CR-2026-09</t>
        </is>
      </c>
      <c r="F12" s="5" t="inlineStr">
        <is>
          <t>Client D</t>
        </is>
      </c>
      <c r="G12" s="9" t="inlineStr">
        <is>
          <t>Implemented 2026-06-20 → 06-27</t>
        </is>
      </c>
    </row>
  </sheetData>
  <autoFilter ref="A4:G12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</cols>
  <sheetData>
    <row r="1">
      <c r="A1" s="6" t="inlineStr">
        <is>
          <t>Summary — live formulas</t>
        </is>
      </c>
    </row>
    <row r="4">
      <c r="A4" s="8" t="inlineStr">
        <is>
          <t>Module</t>
        </is>
      </c>
      <c r="B4" s="8" t="inlineStr">
        <is>
          <t>Requirements</t>
        </is>
      </c>
      <c r="C4" s="8" t="inlineStr">
        <is>
          <t>Delivered</t>
        </is>
      </c>
      <c r="D4" s="8" t="inlineStr">
        <is>
          <t>Must-have</t>
        </is>
      </c>
    </row>
    <row r="5">
      <c r="A5" s="5" t="inlineStr">
        <is>
          <t>2025 appliance</t>
        </is>
      </c>
      <c r="B5" s="5">
        <f>COUNTIF('FR register'!$B:$B,A5)</f>
        <v/>
      </c>
      <c r="C5" s="5">
        <f>COUNTIFS('FR register'!$B:$B,A5,'FR register'!$H:$H,"Delivered*")</f>
        <v/>
      </c>
      <c r="D5" s="5">
        <f>COUNTIFS('FR register'!$B:$B,A5,'FR register'!$G:$G,"Must")</f>
        <v/>
      </c>
    </row>
    <row r="6">
      <c r="A6" s="5" t="inlineStr">
        <is>
          <t>Platform</t>
        </is>
      </c>
      <c r="B6" s="5">
        <f>COUNTIF('FR register'!$B:$B,A6)</f>
        <v/>
      </c>
      <c r="C6" s="5">
        <f>COUNTIFS('FR register'!$B:$B,A6,'FR register'!$H:$H,"Delivered*")</f>
        <v/>
      </c>
      <c r="D6" s="5">
        <f>COUNTIFS('FR register'!$B:$B,A6,'FR register'!$G:$G,"Must")</f>
        <v/>
      </c>
    </row>
    <row r="7">
      <c r="A7" s="5" t="inlineStr">
        <is>
          <t>Knowledge chat</t>
        </is>
      </c>
      <c r="B7" s="5">
        <f>COUNTIF('FR register'!$B:$B,A7)</f>
        <v/>
      </c>
      <c r="C7" s="5">
        <f>COUNTIFS('FR register'!$B:$B,A7,'FR register'!$H:$H,"Delivered*")</f>
        <v/>
      </c>
      <c r="D7" s="5">
        <f>COUNTIFS('FR register'!$B:$B,A7,'FR register'!$G:$G,"Must")</f>
        <v/>
      </c>
    </row>
    <row r="8">
      <c r="A8" s="5" t="inlineStr">
        <is>
          <t>Live transcription</t>
        </is>
      </c>
      <c r="B8" s="5">
        <f>COUNTIF('FR register'!$B:$B,A8)</f>
        <v/>
      </c>
      <c r="C8" s="5">
        <f>COUNTIFS('FR register'!$B:$B,A8,'FR register'!$H:$H,"Delivered*")</f>
        <v/>
      </c>
      <c r="D8" s="5">
        <f>COUNTIFS('FR register'!$B:$B,A8,'FR register'!$G:$G,"Must")</f>
        <v/>
      </c>
    </row>
    <row r="9">
      <c r="A9" s="5" t="inlineStr">
        <is>
          <t>Silent Assistant</t>
        </is>
      </c>
      <c r="B9" s="5">
        <f>COUNTIF('FR register'!$B:$B,A9)</f>
        <v/>
      </c>
      <c r="C9" s="5">
        <f>COUNTIFS('FR register'!$B:$B,A9,'FR register'!$H:$H,"Delivered*")</f>
        <v/>
      </c>
      <c r="D9" s="5">
        <f>COUNTIFS('FR register'!$B:$B,A9,'FR register'!$G:$G,"Must")</f>
        <v/>
      </c>
    </row>
    <row r="10">
      <c r="A10" s="5" t="inlineStr">
        <is>
          <t>Boardroom</t>
        </is>
      </c>
      <c r="B10" s="5">
        <f>COUNTIF('FR register'!$B:$B,A10)</f>
        <v/>
      </c>
      <c r="C10" s="5">
        <f>COUNTIFS('FR register'!$B:$B,A10,'FR register'!$H:$H,"Delivered*")</f>
        <v/>
      </c>
      <c r="D10" s="5">
        <f>COUNTIFS('FR register'!$B:$B,A10,'FR register'!$G:$G,"Must")</f>
        <v/>
      </c>
    </row>
    <row r="11">
      <c r="A11" s="5" t="inlineStr">
        <is>
          <t>Voice</t>
        </is>
      </c>
      <c r="B11" s="5">
        <f>COUNTIF('FR register'!$B:$B,A11)</f>
        <v/>
      </c>
      <c r="C11" s="5">
        <f>COUNTIFS('FR register'!$B:$B,A11,'FR register'!$H:$H,"Delivered*")</f>
        <v/>
      </c>
      <c r="D11" s="5">
        <f>COUNTIFS('FR register'!$B:$B,A11,'FR register'!$G:$G,"Must")</f>
        <v/>
      </c>
    </row>
    <row r="12">
      <c r="A12" s="5" t="inlineStr">
        <is>
          <t>Document Studio</t>
        </is>
      </c>
      <c r="B12" s="5">
        <f>COUNTIF('FR register'!$B:$B,A12)</f>
        <v/>
      </c>
      <c r="C12" s="5">
        <f>COUNTIFS('FR register'!$B:$B,A12,'FR register'!$H:$H,"Delivered*")</f>
        <v/>
      </c>
      <c r="D12" s="5">
        <f>COUNTIFS('FR register'!$B:$B,A12,'FR register'!$G:$G,"Must")</f>
        <v/>
      </c>
    </row>
    <row r="13">
      <c r="A13" s="5" t="inlineStr">
        <is>
          <t>Total</t>
        </is>
      </c>
      <c r="B13" s="5">
        <f>SUM(B5:B12)</f>
        <v/>
      </c>
      <c r="C13" s="5">
        <f>SUM(C5:C12)</f>
        <v/>
      </c>
      <c r="D13" s="5">
        <f>SUM(D5:D12)</f>
        <v/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2026-10-12T16:37:47Z</dcterms:created>
  <dcterms:modified xmlns:dcterms="http://purl.org/dc/terms/" xmlns:xsi="http://www.w3.org/2001/XMLSchema-instance" xsi:type="dcterms:W3CDTF">2026-10-12T16:37:47Z</dcterms:modified>
</cp:coreProperties>
</file>