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NFR register" sheetId="2" state="visible" r:id="rId2"/>
    <sheet xmlns:r="http://schemas.openxmlformats.org/officeDocument/2006/relationships" name="2025 NFRs" sheetId="3" state="visible" r:id="rId3"/>
    <sheet xmlns:r="http://schemas.openxmlformats.org/officeDocument/2006/relationships" name="Measurement history" sheetId="4" state="visible" r:id="rId4"/>
    <sheet xmlns:r="http://schemas.openxmlformats.org/officeDocument/2006/relationships" name="Monitoring plan" sheetId="5" state="visible" r:id="rId5"/>
    <sheet xmlns:r="http://schemas.openxmlformats.org/officeDocument/2006/relationships" name="Summary" sheetId="6" state="visible" r:id="rId6"/>
  </sheets>
  <definedNames>
    <definedName name="_xlnm._FilterDatabase" localSheetId="1" hidden="1">'NFR register'!$A$4:$N$35</definedName>
    <definedName name="_xlnm._FilterDatabase" localSheetId="2" hidden="1">'2025 NFRs'!$A$4:$I$13</definedName>
    <definedName name="_xlnm._FilterDatabase" localSheetId="3" hidden="1">'Measurement history'!$A$4:$G$42</definedName>
    <definedName name="_xlnm._FilterDatabase" localSheetId="4" hidden="1">'Monitoring plan'!$A$4:$E$12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3F4E8"/>
      </patternFill>
    </fill>
    <fill>
      <patternFill patternType="solid">
        <fgColor rgb="00FFF4D6"/>
      </patternFill>
    </fill>
    <fill>
      <patternFill patternType="solid">
        <fgColor rgb="00FDE7E7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7"/>
  <sheetViews>
    <sheetView workbookViewId="0"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4" customWidth="1" min="3" max="3"/>
    <col width="14" customWidth="1" min="4" max="4"/>
  </cols>
  <sheetData>
    <row r="1">
      <c r="A1" s="1" t="inlineStr">
        <is>
          <t>EM26-21 — Non-Functional Requirements Register (2025 → 2026)</t>
        </is>
      </c>
      <c r="B1" s="2" t="n"/>
      <c r="C1" s="2" t="n"/>
      <c r="D1" s="2" t="n"/>
    </row>
    <row r="2">
      <c r="A2" s="3" t="inlineStr">
        <is>
          <t>AJACE Inc. · EchoMind Product · ISO 9001:2015 evidence · Controlled in docs/qms (git); uncontrolled when printed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Field</t>
        </is>
      </c>
      <c r="B4" s="4" t="inlineStr">
        <is>
          <t>Entry</t>
        </is>
      </c>
      <c r="C4" s="2" t="n"/>
      <c r="D4" s="2" t="n"/>
    </row>
    <row r="5">
      <c r="A5" s="5" t="inlineStr">
        <is>
          <t>Document ID</t>
        </is>
      </c>
      <c r="B5" s="5" t="inlineStr">
        <is>
          <t>EM26-21</t>
        </is>
      </c>
      <c r="C5" s="2" t="n"/>
      <c r="D5" s="2" t="n"/>
    </row>
    <row r="6">
      <c r="A6" s="5" t="inlineStr">
        <is>
          <t>Title</t>
        </is>
      </c>
      <c r="B6" s="5" t="inlineStr">
        <is>
          <t>Non-Functional Requirements Register (2025 → 2026)</t>
        </is>
      </c>
      <c r="C6" s="2" t="n"/>
      <c r="D6" s="2" t="n"/>
    </row>
    <row r="7">
      <c r="A7" s="5" t="inlineStr">
        <is>
          <t>Version</t>
        </is>
      </c>
      <c r="B7" s="5" t="inlineStr">
        <is>
          <t>1.1</t>
        </is>
      </c>
      <c r="C7" s="2" t="n"/>
      <c r="D7" s="2" t="n"/>
    </row>
    <row r="8">
      <c r="A8" s="5" t="inlineStr">
        <is>
          <t>Date</t>
        </is>
      </c>
      <c r="B8" s="5" t="inlineStr">
        <is>
          <t>2026-10-12</t>
        </is>
      </c>
      <c r="C8" s="2" t="n"/>
      <c r="D8" s="2" t="n"/>
    </row>
    <row r="9">
      <c r="A9" s="5" t="inlineStr">
        <is>
          <t>Organisation</t>
        </is>
      </c>
      <c r="B9" s="5" t="inlineStr">
        <is>
          <t>AJACE Inc. — 14159 Robert Paris Ct., Suite A, Chantilly, VA 20151, USA</t>
        </is>
      </c>
      <c r="C9" s="2" t="n"/>
      <c r="D9" s="2" t="n"/>
    </row>
    <row r="10">
      <c r="A10" s="5" t="inlineStr">
        <is>
          <t>Area / project</t>
        </is>
      </c>
      <c r="B10" s="5" t="inlineStr">
        <is>
          <t>EchoMind Product — EchoMind (2025 pilot appliance) and EchoMind Enterprise (2026, repository RW2523/echomind-enterprise)</t>
        </is>
      </c>
      <c r="C10" s="2" t="n"/>
      <c r="D10" s="2" t="n"/>
    </row>
    <row r="11">
      <c r="A11" s="5" t="inlineStr">
        <is>
          <t>Status</t>
        </is>
      </c>
      <c r="B11" s="5" t="inlineStr">
        <is>
          <t>APPROVED — rev 1.1 2026-10-12 (AR-2026-004); rev 1.0 2026-10-12 (AR-2026-003)</t>
        </is>
      </c>
      <c r="C11" s="2" t="n"/>
      <c r="D11" s="2" t="n"/>
    </row>
    <row r="12">
      <c r="A12" s="5" t="inlineStr">
        <is>
          <t>Purpose</t>
        </is>
      </c>
      <c r="B12" s="5" t="inlineStr">
        <is>
          <t>The non-functional requirements (performance, accuracy, security, reliability, maintainability, data protection) — where each came from, its approved target, how and how often it is measured, every recorded measurement, and the status. Closes 2025 audit finding #6 (8.2.2).</t>
        </is>
      </c>
      <c r="C12" s="2" t="n"/>
      <c r="D12" s="2" t="n"/>
    </row>
    <row r="13">
      <c r="A13" s="5" t="inlineStr">
        <is>
          <t>Sources</t>
        </is>
      </c>
      <c r="B13" s="5" t="inlineStr">
        <is>
          <t>REG-09 and EM26-17 (targets approved 2026-10-07, AR-2026-001); eval/reports (24 golden runs); eval/paper (E1–E10); acceptance runs 1–4; CI; 2025 SOW and lessons log.</t>
        </is>
      </c>
      <c r="C13" s="2" t="n"/>
      <c r="D13" s="2" t="n"/>
    </row>
    <row r="14">
      <c r="A14" s="5" t="inlineStr">
        <is>
          <t>Copy</t>
        </is>
      </c>
      <c r="B14" s="5" t="inlineStr">
        <is>
          <t>PUBLIC COPY — clients shown as Client A–D; the controlled copy given to the auditor carries the names</t>
        </is>
      </c>
      <c r="C14" s="2" t="n"/>
      <c r="D14" s="2" t="n"/>
    </row>
    <row r="15">
      <c r="A15" s="5" t="inlineStr">
        <is>
          <t>Dating rule</t>
        </is>
      </c>
      <c r="B15" s="5" t="inlineStr">
        <is>
          <t>Every date comes from a record: a 2025 minute or review document, a git commit, a register entry or a test run. Where a remembered month and the commit record differed, the commit date is used. Nothing is back-dated.</t>
        </is>
      </c>
      <c r="C15" s="2" t="n"/>
      <c r="D15" s="2" t="n"/>
    </row>
    <row r="16">
      <c r="A16" s="2" t="n"/>
      <c r="B16" s="2" t="n"/>
      <c r="C16" s="2" t="n"/>
      <c r="D16" s="2" t="n"/>
    </row>
    <row r="17">
      <c r="A17" s="4" t="inlineStr">
        <is>
          <t>Sheet</t>
        </is>
      </c>
      <c r="B17" s="4" t="inlineStr">
        <is>
          <t>What it holds</t>
        </is>
      </c>
      <c r="C17" s="2" t="n"/>
      <c r="D17" s="2" t="n"/>
    </row>
    <row r="18">
      <c r="A18" s="5" t="inlineStr">
        <is>
          <t>NFR register</t>
        </is>
      </c>
      <c r="B18" s="5" t="inlineStr">
        <is>
          <t>31 current NFRs: origin, target, latest measurement, status, monitoring frequency, owner</t>
        </is>
      </c>
      <c r="C18" s="2" t="n"/>
      <c r="D18" s="2" t="n"/>
    </row>
    <row r="19">
      <c r="A19" s="5" t="inlineStr">
        <is>
          <t>2025 NFRs</t>
        </is>
      </c>
      <c r="B19" s="5" t="inlineStr">
        <is>
          <t>The 2025 appliance NFRs and where each was carried</t>
        </is>
      </c>
      <c r="C19" s="2" t="n"/>
      <c r="D19" s="2" t="n"/>
    </row>
    <row r="20">
      <c r="A20" s="5" t="inlineStr">
        <is>
          <t>Measurement history</t>
        </is>
      </c>
      <c r="B20" s="5" t="inlineStr">
        <is>
          <t>Every recorded measurement, with date, version and source (golden suite, paper harness, acceptance runs, CI)</t>
        </is>
      </c>
      <c r="C20" s="2" t="n"/>
      <c r="D20" s="2" t="n"/>
    </row>
    <row r="21">
      <c r="A21" s="5" t="inlineStr">
        <is>
          <t>Monitoring plan</t>
        </is>
      </c>
      <c r="B21" s="5" t="inlineStr">
        <is>
          <t>What is measured, how often and how</t>
        </is>
      </c>
      <c r="C21" s="2" t="n"/>
      <c r="D21" s="2" t="n"/>
    </row>
    <row r="22">
      <c r="A22" s="5" t="inlineStr">
        <is>
          <t>Summary</t>
        </is>
      </c>
      <c r="B22" s="5" t="inlineStr">
        <is>
          <t>Status counts (live formulas)</t>
        </is>
      </c>
      <c r="C22" s="2" t="n"/>
      <c r="D22" s="2" t="n"/>
    </row>
    <row r="23">
      <c r="A23" s="2" t="n"/>
      <c r="B23" s="2" t="n"/>
      <c r="C23" s="2" t="n"/>
      <c r="D23" s="2" t="n"/>
    </row>
    <row r="24">
      <c r="A24" s="4" t="inlineStr">
        <is>
          <t>Role</t>
        </is>
      </c>
      <c r="B24" s="4" t="inlineStr">
        <is>
          <t>Name</t>
        </is>
      </c>
      <c r="C24" s="4" t="inlineStr">
        <is>
          <t>Signature</t>
        </is>
      </c>
      <c r="D24" s="4" t="inlineStr">
        <is>
          <t>Date</t>
        </is>
      </c>
    </row>
    <row r="25">
      <c r="A25" s="5" t="inlineStr">
        <is>
          <t>Prepared by — Lead Engineer</t>
        </is>
      </c>
      <c r="B25" s="5" t="inlineStr">
        <is>
          <t>Richard Watson Stephen Amudha</t>
        </is>
      </c>
      <c r="C25" s="5" t="inlineStr">
        <is>
          <t>Richard Watson Stephen Amudha</t>
        </is>
      </c>
      <c r="D25" s="5" t="inlineStr">
        <is>
          <t>2026-10-12</t>
        </is>
      </c>
    </row>
    <row r="26">
      <c r="A26" s="5" t="inlineStr">
        <is>
          <t>Reviewed by — EchoMind Project Lead</t>
        </is>
      </c>
      <c r="B26" s="5" t="inlineStr">
        <is>
          <t>Alexander Peter</t>
        </is>
      </c>
      <c r="C26" s="5" t="inlineStr">
        <is>
          <t>Alexander Peter</t>
        </is>
      </c>
      <c r="D26" s="5" t="inlineStr">
        <is>
          <t>2026-10-12</t>
        </is>
      </c>
    </row>
    <row r="27">
      <c r="A27" s="5" t="inlineStr">
        <is>
          <t>Quality assurance — QA / MR</t>
        </is>
      </c>
      <c r="B27" s="5" t="inlineStr">
        <is>
          <t>Sheryl Nazareth</t>
        </is>
      </c>
      <c r="C27" s="5" t="inlineStr">
        <is>
          <t>Sheryl Nazareth</t>
        </is>
      </c>
      <c r="D27" s="5" t="inlineStr">
        <is>
          <t>2026-10-12</t>
        </is>
      </c>
    </row>
    <row r="28">
      <c r="A28" s="5" t="inlineStr">
        <is>
          <t>Approved by — Managing Director</t>
        </is>
      </c>
      <c r="B28" s="5" t="inlineStr">
        <is>
          <t>Anita Johan</t>
        </is>
      </c>
      <c r="C28" s="5" t="inlineStr">
        <is>
          <t>Anita Johan</t>
        </is>
      </c>
      <c r="D28" s="5" t="inlineStr">
        <is>
          <t>2026-10-12</t>
        </is>
      </c>
    </row>
    <row r="29">
      <c r="A29" s="2" t="n"/>
      <c r="B29" s="2" t="n"/>
      <c r="C29" s="2" t="n"/>
      <c r="D29" s="2" t="n"/>
    </row>
    <row r="30">
      <c r="A30" s="4" t="inlineStr">
        <is>
          <t>Approval record</t>
        </is>
      </c>
      <c r="B30" s="2" t="n"/>
      <c r="C30" s="2" t="n"/>
      <c r="D30" s="2" t="n"/>
    </row>
    <row r="31">
      <c r="A31" s="5" t="inlineStr">
        <is>
          <t>Rev 1.1: docs/qms/records/approvals/2026-10-12_AR-2026-004_register_revision_approval.md; rev 1.0: …/2026-10-12_AR-2026-003_register_approval.md. Review and approval confirmed by each role holder; signatures are their typed names (SOP-01 §6).</t>
        </is>
      </c>
      <c r="B31" s="2" t="n"/>
      <c r="C31" s="2" t="n"/>
      <c r="D31" s="2" t="n"/>
    </row>
    <row r="32">
      <c r="A32" s="2" t="n"/>
      <c r="B32" s="2" t="n"/>
      <c r="C32" s="2" t="n"/>
      <c r="D32" s="2" t="n"/>
    </row>
    <row r="33">
      <c r="A33" s="4" t="inlineStr">
        <is>
          <t>Date</t>
        </is>
      </c>
      <c r="B33" s="4" t="inlineStr">
        <is>
          <t>Version</t>
        </is>
      </c>
      <c r="C33" s="4" t="inlineStr">
        <is>
          <t>Owner</t>
        </is>
      </c>
      <c r="D33" s="4" t="inlineStr">
        <is>
          <t>Change</t>
        </is>
      </c>
    </row>
    <row r="34">
      <c r="A34" s="5" t="inlineStr">
        <is>
          <t>2026-10-11</t>
        </is>
      </c>
      <c r="B34" s="5" t="inlineStr">
        <is>
          <t>1.0</t>
        </is>
      </c>
      <c r="C34" s="5" t="inlineStr">
        <is>
          <t>Richard Watson Stephen Amudha (Lead Engineer)</t>
        </is>
      </c>
      <c r="D34" s="5" t="inlineStr">
        <is>
          <t>First issue</t>
        </is>
      </c>
    </row>
    <row r="35">
      <c r="A35" s="5" t="inlineStr">
        <is>
          <t>2026-10-12</t>
        </is>
      </c>
      <c r="B35" s="5" t="inlineStr">
        <is>
          <t>1.0</t>
        </is>
      </c>
      <c r="C35" s="5" t="inlineStr">
        <is>
          <t>Anita Johan (Managing Director)</t>
        </is>
      </c>
      <c r="D35" s="5" t="inlineStr">
        <is>
          <t>Approved — AR-2026-003</t>
        </is>
      </c>
    </row>
    <row r="36">
      <c r="A36" s="5" t="inlineStr">
        <is>
          <t>2026-10-12</t>
        </is>
      </c>
      <c r="B36" s="5" t="inlineStr">
        <is>
          <t>1.1</t>
        </is>
      </c>
      <c r="C36" s="5" t="inlineStr">
        <is>
          <t>Richard Watson Stephen Amudha (Lead Engineer)</t>
        </is>
      </c>
      <c r="D36" s="5" t="inlineStr">
        <is>
          <t>Versions v1.0.0–v1.4.1 added (v1.0.0–v1.3.0 retrospective baselines, REG-08 §2a); version reviews</t>
        </is>
      </c>
    </row>
    <row r="37">
      <c r="A37" s="5" t="inlineStr">
        <is>
          <t>2026-10-12</t>
        </is>
      </c>
      <c r="B37" s="5" t="inlineStr">
        <is>
          <t>1.1</t>
        </is>
      </c>
      <c r="C37" s="5" t="inlineStr">
        <is>
          <t>Anita Johan (Managing Director)</t>
        </is>
      </c>
      <c r="D37" s="5" t="inlineStr">
        <is>
          <t>Approved — AR-2026-004</t>
        </is>
      </c>
    </row>
  </sheetData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4" customWidth="1" min="3" max="3"/>
    <col width="18" customWidth="1" min="4" max="4"/>
    <col width="11" customWidth="1" min="5" max="5"/>
    <col width="30" customWidth="1" min="6" max="6"/>
    <col width="26" customWidth="1" min="7" max="7"/>
    <col width="12" customWidth="1" min="8" max="8"/>
    <col width="38" customWidth="1" min="9" max="9"/>
    <col width="11" customWidth="1" min="10" max="10"/>
    <col width="22" customWidth="1" min="11" max="11"/>
    <col width="22" customWidth="1" min="12" max="12"/>
    <col width="36" customWidth="1" min="13" max="13"/>
    <col width="24" customWidth="1" min="14" max="14"/>
  </cols>
  <sheetData>
    <row r="1">
      <c r="A1" s="6" t="inlineStr">
        <is>
          <t>Non-functional requirements — current register</t>
        </is>
      </c>
    </row>
    <row r="2">
      <c r="A2" s="7" t="inlineStr">
        <is>
          <t>Targets approved by the Managing Director on 2026-10-07 (AR-2026-001). First recorded in REG-09 on 2026-09-22.</t>
        </is>
      </c>
    </row>
    <row r="4">
      <c r="A4" s="8" t="inlineStr">
        <is>
          <t>NFR ID</t>
        </is>
      </c>
      <c r="B4" s="8" t="inlineStr">
        <is>
          <t>Category</t>
        </is>
      </c>
      <c r="C4" s="8" t="inlineStr">
        <is>
          <t>Requirement</t>
        </is>
      </c>
      <c r="D4" s="8" t="inlineStr">
        <is>
          <t>Origin (review)</t>
        </is>
      </c>
      <c r="E4" s="8" t="inlineStr">
        <is>
          <t>Raised</t>
        </is>
      </c>
      <c r="F4" s="8" t="inlineStr">
        <is>
          <t>Why</t>
        </is>
      </c>
      <c r="G4" s="8" t="inlineStr">
        <is>
          <t>Target</t>
        </is>
      </c>
      <c r="H4" s="8" t="inlineStr">
        <is>
          <t>Target approved</t>
        </is>
      </c>
      <c r="I4" s="8" t="inlineStr">
        <is>
          <t>Latest measured</t>
        </is>
      </c>
      <c r="J4" s="8" t="inlineStr">
        <is>
          <t>Measured on</t>
        </is>
      </c>
      <c r="K4" s="8" t="inlineStr">
        <is>
          <t>Status</t>
        </is>
      </c>
      <c r="L4" s="8" t="inlineStr">
        <is>
          <t>Monitoring frequency</t>
        </is>
      </c>
      <c r="M4" s="8" t="inlineStr">
        <is>
          <t>Method / evidence</t>
        </is>
      </c>
      <c r="N4" s="8" t="inlineStr">
        <is>
          <t>Owner</t>
        </is>
      </c>
    </row>
    <row r="5">
      <c r="A5" s="5" t="inlineStr">
        <is>
          <t>NFR-P01</t>
        </is>
      </c>
      <c r="B5" s="5" t="inlineStr">
        <is>
          <t>Performance</t>
        </is>
      </c>
      <c r="C5" s="5" t="inlineStr">
        <is>
          <t>Grounded chat answer latency</t>
        </is>
      </c>
      <c r="D5" s="5" t="inlineStr">
        <is>
          <t>CR-2026-06</t>
        </is>
      </c>
      <c r="E5" s="5" t="inlineStr">
        <is>
          <t>2026-04</t>
        </is>
      </c>
      <c r="F5" s="5" t="inlineStr">
        <is>
          <t>Client A: answers too slow</t>
        </is>
      </c>
      <c r="G5" s="5" t="inlineStr">
        <is>
          <t>median ≤ 4 s; p95 ≤ 16 s</t>
        </is>
      </c>
      <c r="H5" s="5" t="inlineStr">
        <is>
          <t>2026-10-07</t>
        </is>
      </c>
      <c r="I5" s="5" t="inlineStr">
        <is>
          <t>median 3.31 s; p95 15.17 s (n=30)</t>
        </is>
      </c>
      <c r="J5" s="5" t="inlineStr">
        <is>
          <t>2026-08-07</t>
        </is>
      </c>
      <c r="K5" s="9" t="inlineStr">
        <is>
          <t>Meets</t>
        </is>
      </c>
      <c r="L5" s="5" t="inlineStr">
        <is>
          <t>Per study / major change</t>
        </is>
      </c>
      <c r="M5" s="5" t="inlineStr">
        <is>
          <t>Paper harness E1 — eval/paper/results/e1_latency.json</t>
        </is>
      </c>
      <c r="N5" s="5" t="inlineStr">
        <is>
          <t>Richard Watson Stephen Amudha</t>
        </is>
      </c>
    </row>
    <row r="6">
      <c r="A6" s="5" t="inlineStr">
        <is>
          <t>NFR-P02</t>
        </is>
      </c>
      <c r="B6" s="5" t="inlineStr">
        <is>
          <t>Performance</t>
        </is>
      </c>
      <c r="C6" s="5" t="inlineStr">
        <is>
          <t>Retrieval share of answer latency</t>
        </is>
      </c>
      <c r="D6" s="5" t="inlineStr">
        <is>
          <t>RV-2026-02</t>
        </is>
      </c>
      <c r="E6" s="5" t="inlineStr">
        <is>
          <t>2026-08-07</t>
        </is>
      </c>
      <c r="F6" s="5" t="inlineStr">
        <is>
          <t>Paper study</t>
        </is>
      </c>
      <c r="G6" s="5" t="inlineStr">
        <is>
          <t>Monitor only (no target)</t>
        </is>
      </c>
      <c r="H6" s="5" t="inlineStr">
        <is>
          <t>2026-10-07</t>
        </is>
      </c>
      <c r="I6" s="5" t="inlineStr">
        <is>
          <t>2.8 %</t>
        </is>
      </c>
      <c r="J6" s="5" t="inlineStr">
        <is>
          <t>2026-08-07</t>
        </is>
      </c>
      <c r="K6" s="10" t="inlineStr">
        <is>
          <t>Monitored</t>
        </is>
      </c>
      <c r="L6" s="5" t="inlineStr">
        <is>
          <t>Per study / major change</t>
        </is>
      </c>
      <c r="M6" s="5" t="inlineStr">
        <is>
          <t>E1 decomposition</t>
        </is>
      </c>
      <c r="N6" s="5" t="inlineStr">
        <is>
          <t>Richard Watson Stephen Amudha</t>
        </is>
      </c>
    </row>
    <row r="7">
      <c r="A7" s="5" t="inlineStr">
        <is>
          <t>NFR-P03</t>
        </is>
      </c>
      <c r="B7" s="5" t="inlineStr">
        <is>
          <t>Performance</t>
        </is>
      </c>
      <c r="C7" s="5" t="inlineStr">
        <is>
          <t>Tenant permission-filter overhead</t>
        </is>
      </c>
      <c r="D7" s="5" t="inlineStr">
        <is>
          <t>RV-2026-02</t>
        </is>
      </c>
      <c r="E7" s="5" t="inlineStr">
        <is>
          <t>2026-08-07</t>
        </is>
      </c>
      <c r="F7" s="5" t="inlineStr">
        <is>
          <t>Paper study</t>
        </is>
      </c>
      <c r="G7" s="5" t="inlineStr">
        <is>
          <t>≤ 1 ms</t>
        </is>
      </c>
      <c r="H7" s="5" t="inlineStr">
        <is>
          <t>2026-10-07</t>
        </is>
      </c>
      <c r="I7" s="5" t="inlineStr">
        <is>
          <t>0.08 ms</t>
        </is>
      </c>
      <c r="J7" s="5" t="inlineStr">
        <is>
          <t>2026-08-07</t>
        </is>
      </c>
      <c r="K7" s="9" t="inlineStr">
        <is>
          <t>Meets</t>
        </is>
      </c>
      <c r="L7" s="5" t="inlineStr">
        <is>
          <t>Per study / major change</t>
        </is>
      </c>
      <c r="M7" s="5" t="inlineStr">
        <is>
          <t>E1</t>
        </is>
      </c>
      <c r="N7" s="5" t="inlineStr">
        <is>
          <t>Richard Watson Stephen Amudha</t>
        </is>
      </c>
    </row>
    <row r="8">
      <c r="A8" s="5" t="inlineStr">
        <is>
          <t>NFR-P04</t>
        </is>
      </c>
      <c r="B8" s="5" t="inlineStr">
        <is>
          <t>Performance</t>
        </is>
      </c>
      <c r="C8" s="5" t="inlineStr">
        <is>
          <t>Voice: end of speech → first audible reply (dual-loop)</t>
        </is>
      </c>
      <c r="D8" s="5" t="inlineStr">
        <is>
          <t>CR-2026-03</t>
        </is>
      </c>
      <c r="E8" s="5" t="inlineStr">
        <is>
          <t>2026-03</t>
        </is>
      </c>
      <c r="F8" s="5" t="inlineStr">
        <is>
          <t>Clients A and B: conversation slow and not natural</t>
        </is>
      </c>
      <c r="G8" s="5" t="inlineStr">
        <is>
          <t>median ≤ 1.0 s</t>
        </is>
      </c>
      <c r="H8" s="5" t="inlineStr">
        <is>
          <t>2026-10-07</t>
        </is>
      </c>
      <c r="I8" s="5" t="inlineStr">
        <is>
          <t>median 636 ms; p95 894 ms (n=10)</t>
        </is>
      </c>
      <c r="J8" s="5" t="inlineStr">
        <is>
          <t>2026-08-07</t>
        </is>
      </c>
      <c r="K8" s="9" t="inlineStr">
        <is>
          <t>Meets</t>
        </is>
      </c>
      <c r="L8" s="5" t="inlineStr">
        <is>
          <t>Per study / major change</t>
        </is>
      </c>
      <c r="M8" s="5" t="inlineStr">
        <is>
          <t>E10 ablation — e10_ablation.json; paper</t>
        </is>
      </c>
      <c r="N8" s="5" t="inlineStr">
        <is>
          <t>Richard Watson Stephen Amudha</t>
        </is>
      </c>
    </row>
    <row r="9">
      <c r="A9" s="5" t="inlineStr">
        <is>
          <t>NFR-P05</t>
        </is>
      </c>
      <c r="B9" s="5" t="inlineStr">
        <is>
          <t>Performance</t>
        </is>
      </c>
      <c r="C9" s="5" t="inlineStr">
        <is>
          <t>Voice first reply after speculative-reply work</t>
        </is>
      </c>
      <c r="D9" s="5" t="inlineStr">
        <is>
          <t>RV-2026-03</t>
        </is>
      </c>
      <c r="E9" s="5" t="inlineStr">
        <is>
          <t>2026-09-21</t>
        </is>
      </c>
      <c r="F9" s="5" t="inlineStr">
        <is>
          <t>Voice redesign review</t>
        </is>
      </c>
      <c r="G9" s="5" t="inlineStr">
        <is>
          <t>median ≤ 1.0 s</t>
        </is>
      </c>
      <c r="H9" s="5" t="inlineStr">
        <is>
          <t>2026-10-07</t>
        </is>
      </c>
      <c r="I9" s="5" t="inlineStr">
        <is>
          <t>0.14–0.49 s on GPU (12 turns, 2 personas); on CPU since 2026-10-06 — to re-measure</t>
        </is>
      </c>
      <c r="J9" s="5" t="inlineStr">
        <is>
          <t>2026-09-21</t>
        </is>
      </c>
      <c r="K9" s="9" t="inlineStr">
        <is>
          <t>Meets (GPU) — re-measure on CPU</t>
        </is>
      </c>
      <c r="L9" s="5" t="inlineStr">
        <is>
          <t>Each release</t>
        </is>
      </c>
      <c r="M9" s="5" t="inlineStr">
        <is>
          <t>voice_e2e session test; commit ff29843</t>
        </is>
      </c>
      <c r="N9" s="5" t="inlineStr">
        <is>
          <t>Richard Watson Stephen Amudha</t>
        </is>
      </c>
    </row>
    <row r="10">
      <c r="A10" s="5" t="inlineStr">
        <is>
          <t>NFR-P06</t>
        </is>
      </c>
      <c r="B10" s="5" t="inlineStr">
        <is>
          <t>Performance</t>
        </is>
      </c>
      <c r="C10" s="5" t="inlineStr">
        <is>
          <t>Final speech-to-text decode time</t>
        </is>
      </c>
      <c r="D10" s="5" t="inlineStr">
        <is>
          <t>CR-2026-06</t>
        </is>
      </c>
      <c r="E10" s="5" t="inlineStr">
        <is>
          <t>2026-04</t>
        </is>
      </c>
      <c r="F10" s="5" t="inlineStr">
        <is>
          <t>Client A: transcript speed</t>
        </is>
      </c>
      <c r="G10" s="5" t="inlineStr">
        <is>
          <t>≤ 300 ms (GPU) / ≤ 1.6 s (CPU mode)</t>
        </is>
      </c>
      <c r="H10" s="5" t="inlineStr">
        <is>
          <t>2026-10-07</t>
        </is>
      </c>
      <c r="I10" s="5" t="inlineStr">
        <is>
          <t>70–130 ms on GPU; CPU mode since 2026-10-06 — to re-measure</t>
        </is>
      </c>
      <c r="J10" s="5" t="inlineStr">
        <is>
          <t>2026-09-21</t>
        </is>
      </c>
      <c r="K10" s="10" t="inlineStr">
        <is>
          <t>Re-measure</t>
        </is>
      </c>
      <c r="L10" s="5" t="inlineStr">
        <is>
          <t>Each release</t>
        </is>
      </c>
      <c r="M10" s="5" t="inlineStr">
        <is>
          <t>commit ff29843</t>
        </is>
      </c>
      <c r="N10" s="5" t="inlineStr">
        <is>
          <t>Richard Watson Stephen Amudha</t>
        </is>
      </c>
    </row>
    <row r="11">
      <c r="A11" s="5" t="inlineStr">
        <is>
          <t>NFR-P07</t>
        </is>
      </c>
      <c r="B11" s="5" t="inlineStr">
        <is>
          <t>Performance</t>
        </is>
      </c>
      <c r="C11" s="5" t="inlineStr">
        <is>
          <t>Barge-in: interrupt → assistant audio stops</t>
        </is>
      </c>
      <c r="D11" s="5" t="inlineStr">
        <is>
          <t>CR-2026-03</t>
        </is>
      </c>
      <c r="E11" s="5" t="inlineStr">
        <is>
          <t>2026-03</t>
        </is>
      </c>
      <c r="F11" s="5" t="inlineStr">
        <is>
          <t>Clients A and B: natural turn-taking</t>
        </is>
      </c>
      <c r="G11" s="5" t="inlineStr">
        <is>
          <t>median ≤ 1.0 s</t>
        </is>
      </c>
      <c r="H11" s="5" t="inlineStr">
        <is>
          <t>2026-10-07</t>
        </is>
      </c>
      <c r="I11" s="5" t="inlineStr">
        <is>
          <t>median 2.13 s, success 1.00 (n=8)</t>
        </is>
      </c>
      <c r="J11" s="5" t="inlineStr">
        <is>
          <t>2026-08-07</t>
        </is>
      </c>
      <c r="K11" s="11" t="inlineStr">
        <is>
          <t>Does not meet — action A-17-03</t>
        </is>
      </c>
      <c r="L11" s="5" t="inlineStr">
        <is>
          <t>Per study / major change</t>
        </is>
      </c>
      <c r="M11" s="5" t="inlineStr">
        <is>
          <t>E7 — e7_interaction.json</t>
        </is>
      </c>
      <c r="N11" s="5" t="inlineStr">
        <is>
          <t>Richard Watson Stephen Amudha</t>
        </is>
      </c>
    </row>
    <row r="12">
      <c r="A12" s="5" t="inlineStr">
        <is>
          <t>NFR-Q01</t>
        </is>
      </c>
      <c r="B12" s="5" t="inlineStr">
        <is>
          <t>Accuracy</t>
        </is>
      </c>
      <c r="C12" s="5" t="inlineStr">
        <is>
          <t>Citation precision</t>
        </is>
      </c>
      <c r="D12" s="5" t="inlineStr">
        <is>
          <t>CR-2026-02</t>
        </is>
      </c>
      <c r="E12" s="5" t="inlineStr">
        <is>
          <t>2026-03</t>
        </is>
      </c>
      <c r="F12" s="5" t="inlineStr">
        <is>
          <t>DoD FMR answers must be traceable</t>
        </is>
      </c>
      <c r="G12" s="5" t="inlineStr">
        <is>
          <t>≥ 0.98 (set in QO-01)</t>
        </is>
      </c>
      <c r="H12" s="5" t="inlineStr">
        <is>
          <t>2026-10-07</t>
        </is>
      </c>
      <c r="I12" s="5" t="inlineStr">
        <is>
          <t>0.979 (n=36)</t>
        </is>
      </c>
      <c r="J12" s="5" t="inlineStr">
        <is>
          <t>2026-08-07</t>
        </is>
      </c>
      <c r="K12" s="10" t="inlineStr">
        <is>
          <t>At boundary</t>
        </is>
      </c>
      <c r="L12" s="5" t="inlineStr">
        <is>
          <t>Per study / major change</t>
        </is>
      </c>
      <c r="M12" s="5" t="inlineStr">
        <is>
          <t>E5 — e5_grounding.json</t>
        </is>
      </c>
      <c r="N12" s="5" t="inlineStr">
        <is>
          <t>Richard Watson Stephen Amudha</t>
        </is>
      </c>
    </row>
    <row r="13">
      <c r="A13" s="5" t="inlineStr">
        <is>
          <t>NFR-Q02</t>
        </is>
      </c>
      <c r="B13" s="5" t="inlineStr">
        <is>
          <t>Accuracy</t>
        </is>
      </c>
      <c r="C13" s="5" t="inlineStr">
        <is>
          <t>Citation recall</t>
        </is>
      </c>
      <c r="D13" s="5" t="inlineStr">
        <is>
          <t>CR-2026-02</t>
        </is>
      </c>
      <c r="E13" s="5" t="inlineStr">
        <is>
          <t>2026-03</t>
        </is>
      </c>
      <c r="F13" s="5" t="inlineStr">
        <is>
          <t>DoD FMR answers must be traceable</t>
        </is>
      </c>
      <c r="G13" s="5" t="inlineStr">
        <is>
          <t>≥ 0.80</t>
        </is>
      </c>
      <c r="H13" s="5" t="inlineStr">
        <is>
          <t>2026-10-07</t>
        </is>
      </c>
      <c r="I13" s="5" t="inlineStr">
        <is>
          <t>0.826 (n=43)</t>
        </is>
      </c>
      <c r="J13" s="5" t="inlineStr">
        <is>
          <t>2026-08-07</t>
        </is>
      </c>
      <c r="K13" s="9" t="inlineStr">
        <is>
          <t>Meets</t>
        </is>
      </c>
      <c r="L13" s="5" t="inlineStr">
        <is>
          <t>Per study / major change</t>
        </is>
      </c>
      <c r="M13" s="5" t="inlineStr">
        <is>
          <t>E5</t>
        </is>
      </c>
      <c r="N13" s="5" t="inlineStr">
        <is>
          <t>Richard Watson Stephen Amudha</t>
        </is>
      </c>
    </row>
    <row r="14">
      <c r="A14" s="5" t="inlineStr">
        <is>
          <t>NFR-Q03</t>
        </is>
      </c>
      <c r="B14" s="5" t="inlineStr">
        <is>
          <t>Accuracy</t>
        </is>
      </c>
      <c r="C14" s="5" t="inlineStr">
        <is>
          <t>Fact support rate</t>
        </is>
      </c>
      <c r="D14" s="5" t="inlineStr">
        <is>
          <t>CR-2026-02</t>
        </is>
      </c>
      <c r="E14" s="5" t="inlineStr">
        <is>
          <t>2026-03</t>
        </is>
      </c>
      <c r="F14" s="5" t="inlineStr">
        <is>
          <t>Grounded answers</t>
        </is>
      </c>
      <c r="G14" s="5" t="inlineStr">
        <is>
          <t>≥ 0.80</t>
        </is>
      </c>
      <c r="H14" s="5" t="inlineStr">
        <is>
          <t>2026-10-07</t>
        </is>
      </c>
      <c r="I14" s="5" t="inlineStr">
        <is>
          <t>0.815 (75/92)</t>
        </is>
      </c>
      <c r="J14" s="5" t="inlineStr">
        <is>
          <t>2026-08-07</t>
        </is>
      </c>
      <c r="K14" s="9" t="inlineStr">
        <is>
          <t>Meets</t>
        </is>
      </c>
      <c r="L14" s="5" t="inlineStr">
        <is>
          <t>Per study / major change</t>
        </is>
      </c>
      <c r="M14" s="5" t="inlineStr">
        <is>
          <t>E5</t>
        </is>
      </c>
      <c r="N14" s="5" t="inlineStr">
        <is>
          <t>Richard Watson Stephen Amudha</t>
        </is>
      </c>
    </row>
    <row r="15">
      <c r="A15" s="5" t="inlineStr">
        <is>
          <t>NFR-Q04</t>
        </is>
      </c>
      <c r="B15" s="5" t="inlineStr">
        <is>
          <t>Accuracy</t>
        </is>
      </c>
      <c r="C15" s="5" t="inlineStr">
        <is>
          <t>Abstention when the corpus cannot answer</t>
        </is>
      </c>
      <c r="D15" s="5" t="inlineStr">
        <is>
          <t>CR-2026-02</t>
        </is>
      </c>
      <c r="E15" s="5" t="inlineStr">
        <is>
          <t>2026-03</t>
        </is>
      </c>
      <c r="F15" s="5" t="inlineStr">
        <is>
          <t>Refuse when the corpus cannot answer</t>
        </is>
      </c>
      <c r="G15" s="5" t="inlineStr">
        <is>
          <t>≥ 0.80</t>
        </is>
      </c>
      <c r="H15" s="5" t="inlineStr">
        <is>
          <t>2026-10-07</t>
        </is>
      </c>
      <c r="I15" s="5" t="inlineStr">
        <is>
          <t>0.783 (n=23)</t>
        </is>
      </c>
      <c r="J15" s="5" t="inlineStr">
        <is>
          <t>2026-08-07</t>
        </is>
      </c>
      <c r="K15" s="11" t="inlineStr">
        <is>
          <t>Does not meet — action A-17-04</t>
        </is>
      </c>
      <c r="L15" s="5" t="inlineStr">
        <is>
          <t>Per study / major change</t>
        </is>
      </c>
      <c r="M15" s="5" t="inlineStr">
        <is>
          <t>E5</t>
        </is>
      </c>
      <c r="N15" s="5" t="inlineStr">
        <is>
          <t>Richard Watson Stephen Amudha</t>
        </is>
      </c>
    </row>
    <row r="16">
      <c r="A16" s="5" t="inlineStr">
        <is>
          <t>NFR-Q05</t>
        </is>
      </c>
      <c r="B16" s="5" t="inlineStr">
        <is>
          <t>Accuracy</t>
        </is>
      </c>
      <c r="C16" s="5" t="inlineStr">
        <is>
          <t>Golden regression suite (52 questions)</t>
        </is>
      </c>
      <c r="D16" s="5" t="inlineStr">
        <is>
          <t>RV-2026-01</t>
        </is>
      </c>
      <c r="E16" s="5" t="inlineStr">
        <is>
          <t>2026-07-29</t>
        </is>
      </c>
      <c r="F16" s="5" t="inlineStr">
        <is>
          <t>Golden suite created</t>
        </is>
      </c>
      <c r="G16" s="5" t="inlineStr">
        <is>
          <t>≥ 49/52 (baseline 2026-08-06)</t>
        </is>
      </c>
      <c r="H16" s="5" t="inlineStr">
        <is>
          <t>2026-10-07</t>
        </is>
      </c>
      <c r="I16" s="5" t="inlineStr">
        <is>
          <t>Blocked — corpus absent (9/52 by construction, 2026-09-22); run now aborts with the missing list</t>
        </is>
      </c>
      <c r="J16" s="5" t="inlineStr">
        <is>
          <t>2026-10-07</t>
        </is>
      </c>
      <c r="K16" s="10" t="inlineStr">
        <is>
          <t>Blocked — action A-17-05</t>
        </is>
      </c>
      <c r="L16" s="5" t="inlineStr">
        <is>
          <t>Every release</t>
        </is>
      </c>
      <c r="M16" s="5" t="inlineStr">
        <is>
          <t>eval/run_eval.py; NC-2026-008</t>
        </is>
      </c>
      <c r="N16" s="5" t="inlineStr">
        <is>
          <t>Richard Watson Stephen Amudha</t>
        </is>
      </c>
    </row>
    <row r="17">
      <c r="A17" s="5" t="inlineStr">
        <is>
          <t>NFR-Q06</t>
        </is>
      </c>
      <c r="B17" s="5" t="inlineStr">
        <is>
          <t>Accuracy</t>
        </is>
      </c>
      <c r="C17" s="5" t="inlineStr">
        <is>
          <t>Small talk answered without document citations</t>
        </is>
      </c>
      <c r="D17" s="5" t="inlineStr">
        <is>
          <t>RV-2026-07</t>
        </is>
      </c>
      <c r="E17" s="5" t="inlineStr">
        <is>
          <t>2026-10-06</t>
        </is>
      </c>
      <c r="F17" s="5" t="inlineStr">
        <is>
          <t>Acceptance testing</t>
        </is>
      </c>
      <c r="G17" s="5" t="inlineStr">
        <is>
          <t>100 % of acceptance probes</t>
        </is>
      </c>
      <c r="H17" s="5" t="inlineStr">
        <is>
          <t>2026-10-07</t>
        </is>
      </c>
      <c r="I17" s="5" t="inlineStr">
        <is>
          <t>Pass on v1.4.1 (after fix e0ed4d0)</t>
        </is>
      </c>
      <c r="J17" s="5" t="inlineStr">
        <is>
          <t>2026-10-06</t>
        </is>
      </c>
      <c r="K17" s="9" t="inlineStr">
        <is>
          <t>Meets</t>
        </is>
      </c>
      <c r="L17" s="5" t="inlineStr">
        <is>
          <t>Every release; after every defect fix</t>
        </is>
      </c>
      <c r="M17" s="5" t="inlineStr">
        <is>
          <t>TC-EM-RAG-103 run 4</t>
        </is>
      </c>
      <c r="N17" s="5" t="inlineStr">
        <is>
          <t>Richard Watson Stephen Amudha</t>
        </is>
      </c>
    </row>
    <row r="18">
      <c r="A18" s="5" t="inlineStr">
        <is>
          <t>NFR-S01</t>
        </is>
      </c>
      <c r="B18" s="5" t="inlineStr">
        <is>
          <t>Security</t>
        </is>
      </c>
      <c r="C18" s="5" t="inlineStr">
        <is>
          <t>No cross-tenant leakage in answers</t>
        </is>
      </c>
      <c r="D18" s="5" t="inlineStr">
        <is>
          <t>RV-2026-01</t>
        </is>
      </c>
      <c r="E18" s="5" t="inlineStr">
        <is>
          <t>2026-08-07</t>
        </is>
      </c>
      <c r="F18" s="5" t="inlineStr">
        <is>
          <t>Isolation regression NC-2026-001</t>
        </is>
      </c>
      <c r="G18" s="5" t="inlineStr">
        <is>
          <t>0 leaks</t>
        </is>
      </c>
      <c r="H18" s="5" t="inlineStr">
        <is>
          <t>2026-10-07</t>
        </is>
      </c>
      <c r="I18" s="5" t="inlineStr">
        <is>
          <t>0 / 50 probes</t>
        </is>
      </c>
      <c r="J18" s="5" t="inlineStr">
        <is>
          <t>2026-08-07</t>
        </is>
      </c>
      <c r="K18" s="9" t="inlineStr">
        <is>
          <t>Meets</t>
        </is>
      </c>
      <c r="L18" s="5" t="inlineStr">
        <is>
          <t>Per study / major change</t>
        </is>
      </c>
      <c r="M18" s="5" t="inlineStr">
        <is>
          <t>E3 — e3_permission.json</t>
        </is>
      </c>
      <c r="N18" s="5" t="inlineStr">
        <is>
          <t>Kishan Haravu Pradeep</t>
        </is>
      </c>
    </row>
    <row r="19">
      <c r="A19" s="5" t="inlineStr">
        <is>
          <t>NFR-S02</t>
        </is>
      </c>
      <c r="B19" s="5" t="inlineStr">
        <is>
          <t>Security</t>
        </is>
      </c>
      <c r="C19" s="5" t="inlineStr">
        <is>
          <t>No out-of-namespace retrieval hits</t>
        </is>
      </c>
      <c r="D19" s="5" t="inlineStr">
        <is>
          <t>RV-2026-01</t>
        </is>
      </c>
      <c r="E19" s="5" t="inlineStr">
        <is>
          <t>2026-08-07</t>
        </is>
      </c>
      <c r="F19" s="5" t="inlineStr">
        <is>
          <t>Isolation regression NC-2026-001</t>
        </is>
      </c>
      <c r="G19" s="5" t="inlineStr">
        <is>
          <t>0 hits</t>
        </is>
      </c>
      <c r="H19" s="5" t="inlineStr">
        <is>
          <t>2026-10-07</t>
        </is>
      </c>
      <c r="I19" s="5" t="inlineStr">
        <is>
          <t>0 / 359 (all paths) after fix 4e27109</t>
        </is>
      </c>
      <c r="J19" s="5" t="inlineStr">
        <is>
          <t>2026-08-07</t>
        </is>
      </c>
      <c r="K19" s="9" t="inlineStr">
        <is>
          <t>Meets</t>
        </is>
      </c>
      <c r="L19" s="5" t="inlineStr">
        <is>
          <t>Per study / major change</t>
        </is>
      </c>
      <c r="M19" s="5" t="inlineStr">
        <is>
          <t>e3b_path_isolation.json</t>
        </is>
      </c>
      <c r="N19" s="5" t="inlineStr">
        <is>
          <t>Kishan Haravu Pradeep</t>
        </is>
      </c>
    </row>
    <row r="20">
      <c r="A20" s="5" t="inlineStr">
        <is>
          <t>NFR-S03</t>
        </is>
      </c>
      <c r="B20" s="5" t="inlineStr">
        <is>
          <t>Security</t>
        </is>
      </c>
      <c r="C20" s="5" t="inlineStr">
        <is>
          <t>Prompt-injection success rate</t>
        </is>
      </c>
      <c r="D20" s="5" t="inlineStr">
        <is>
          <t>SR-2026-01</t>
        </is>
      </c>
      <c r="E20" s="5" t="inlineStr">
        <is>
          <t>2026-06-18</t>
        </is>
      </c>
      <c r="F20" s="5" t="inlineStr">
        <is>
          <t>Code audit: prompt injection</t>
        </is>
      </c>
      <c r="G20" s="5" t="inlineStr">
        <is>
          <t>≤ 5 % with defences</t>
        </is>
      </c>
      <c r="H20" s="5" t="inlineStr">
        <is>
          <t>2026-10-07</t>
        </is>
      </c>
      <c r="I20" s="5" t="inlineStr">
        <is>
          <t>10.2 % undefended → 5.1 % with evidence envelope</t>
        </is>
      </c>
      <c r="J20" s="5" t="inlineStr">
        <is>
          <t>2026-08-07</t>
        </is>
      </c>
      <c r="K20" s="10" t="inlineStr">
        <is>
          <t>At boundary</t>
        </is>
      </c>
      <c r="L20" s="5" t="inlineStr">
        <is>
          <t>Per study / major change</t>
        </is>
      </c>
      <c r="M20" s="5" t="inlineStr">
        <is>
          <t>E4 — e4_injection.json; paper</t>
        </is>
      </c>
      <c r="N20" s="5" t="inlineStr">
        <is>
          <t>Richard Watson Stephen Amudha</t>
        </is>
      </c>
    </row>
    <row r="21">
      <c r="A21" s="5" t="inlineStr">
        <is>
          <t>NFR-S04</t>
        </is>
      </c>
      <c r="B21" s="5" t="inlineStr">
        <is>
          <t>Security</t>
        </is>
      </c>
      <c r="C21" s="5" t="inlineStr">
        <is>
          <t>Injection guards in every prompt path</t>
        </is>
      </c>
      <c r="D21" s="5" t="inlineStr">
        <is>
          <t>SR-2026-01</t>
        </is>
      </c>
      <c r="E21" s="5" t="inlineStr">
        <is>
          <t>2026-06-18</t>
        </is>
      </c>
      <c r="F21" s="5" t="inlineStr">
        <is>
          <t>Code audit: prompt injection</t>
        </is>
      </c>
      <c r="G21" s="5" t="inlineStr">
        <is>
          <t>All paths</t>
        </is>
      </c>
      <c r="H21" s="5" t="inlineStr">
        <is>
          <t>2026-10-07</t>
        </is>
      </c>
      <c r="I21" s="5" t="inlineStr">
        <is>
          <t>5 unit tests, run by CI on every push</t>
        </is>
      </c>
      <c r="J21" s="5" t="inlineStr">
        <is>
          <t>2026-10-07</t>
        </is>
      </c>
      <c r="K21" s="9" t="inlineStr">
        <is>
          <t>Meets</t>
        </is>
      </c>
      <c r="L21" s="5" t="inlineStr">
        <is>
          <t>Every push and pull request</t>
        </is>
      </c>
      <c r="M21" s="5" t="inlineStr">
        <is>
          <t>test_prompt_guards.py; CI</t>
        </is>
      </c>
      <c r="N21" s="5" t="inlineStr">
        <is>
          <t>Richard Watson Stephen Amudha</t>
        </is>
      </c>
    </row>
    <row r="22">
      <c r="A22" s="5" t="inlineStr">
        <is>
          <t>NFR-S05</t>
        </is>
      </c>
      <c r="B22" s="5" t="inlineStr">
        <is>
          <t>Security</t>
        </is>
      </c>
      <c r="C22" s="5" t="inlineStr">
        <is>
          <t>Public instance requires login</t>
        </is>
      </c>
      <c r="D22" s="5" t="inlineStr">
        <is>
          <t>RV-2026-06</t>
        </is>
      </c>
      <c r="E22" s="5" t="inlineStr">
        <is>
          <t>2026-10-06</t>
        </is>
      </c>
      <c r="F22" s="5" t="inlineStr">
        <is>
          <t>Public instance without login (NC-2026-009)</t>
        </is>
      </c>
      <c r="G22" s="5" t="inlineStr">
        <is>
          <t>Unauthenticated API → 401, always</t>
        </is>
      </c>
      <c r="H22" s="5" t="inlineStr">
        <is>
          <t>2026-10-07</t>
        </is>
      </c>
      <c r="I22" s="5" t="inlineStr">
        <is>
          <t>401 from GitHub's network every 6 h; was off 2026-07-30 → 10-06 (NC-2026-009)</t>
        </is>
      </c>
      <c r="J22" s="5" t="inlineStr">
        <is>
          <t>2026-10-07</t>
        </is>
      </c>
      <c r="K22" s="9" t="inlineStr">
        <is>
          <t>Meets since 2026-10-06</t>
        </is>
      </c>
      <c r="L22" s="5" t="inlineStr">
        <is>
          <t>Every release; after every defect fix</t>
        </is>
      </c>
      <c r="M22" s="5" t="inlineStr">
        <is>
          <t>public-gate-check workflow run 37561803121</t>
        </is>
      </c>
      <c r="N22" s="5" t="inlineStr">
        <is>
          <t>Kishan Haravu Pradeep</t>
        </is>
      </c>
    </row>
    <row r="23">
      <c r="A23" s="5" t="inlineStr">
        <is>
          <t>NFR-S06</t>
        </is>
      </c>
      <c r="B23" s="5" t="inlineStr">
        <is>
          <t>Security</t>
        </is>
      </c>
      <c r="C23" s="5" t="inlineStr">
        <is>
          <t>Logout ends the session</t>
        </is>
      </c>
      <c r="D23" s="5" t="inlineStr">
        <is>
          <t>RV-2026-07</t>
        </is>
      </c>
      <c r="E23" s="5" t="inlineStr">
        <is>
          <t>2026-10-06</t>
        </is>
      </c>
      <c r="F23" s="5" t="inlineStr">
        <is>
          <t>Acceptance testing</t>
        </is>
      </c>
      <c r="G23" s="5" t="inlineStr">
        <is>
          <t>Replayed token → 401</t>
        </is>
      </c>
      <c r="H23" s="5" t="inlineStr">
        <is>
          <t>2026-10-07</t>
        </is>
      </c>
      <c r="I23" s="5" t="inlineStr">
        <is>
          <t>401 (fix e0ed4d0)</t>
        </is>
      </c>
      <c r="J23" s="5" t="inlineStr">
        <is>
          <t>2026-10-06</t>
        </is>
      </c>
      <c r="K23" s="9" t="inlineStr">
        <is>
          <t>Meets</t>
        </is>
      </c>
      <c r="L23" s="5" t="inlineStr">
        <is>
          <t>Every release; after every defect fix</t>
        </is>
      </c>
      <c r="M23" s="5" t="inlineStr">
        <is>
          <t>TC-EM-AUTH-101 AC-101.7 run 4</t>
        </is>
      </c>
      <c r="N23" s="5" t="inlineStr">
        <is>
          <t>Kishan Haravu Pradeep</t>
        </is>
      </c>
    </row>
    <row r="24">
      <c r="A24" s="5" t="inlineStr">
        <is>
          <t>NFR-S07</t>
        </is>
      </c>
      <c r="B24" s="5" t="inlineStr">
        <is>
          <t>Security</t>
        </is>
      </c>
      <c r="C24" s="5" t="inlineStr">
        <is>
          <t>Only supported document types accepted</t>
        </is>
      </c>
      <c r="D24" s="5" t="inlineStr">
        <is>
          <t>RV-2026-07</t>
        </is>
      </c>
      <c r="E24" s="5" t="inlineStr">
        <is>
          <t>2026-10-06</t>
        </is>
      </c>
      <c r="F24" s="5" t="inlineStr">
        <is>
          <t>Acceptance testing</t>
        </is>
      </c>
      <c r="G24" s="5" t="inlineStr">
        <is>
          <t>Binary/unsupported → 415</t>
        </is>
      </c>
      <c r="H24" s="5" t="inlineStr">
        <is>
          <t>2026-10-07</t>
        </is>
      </c>
      <c r="I24" s="5" t="inlineStr">
        <is>
          <t>415 (fix e0ed4d0)</t>
        </is>
      </c>
      <c r="J24" s="5" t="inlineStr">
        <is>
          <t>2026-10-06</t>
        </is>
      </c>
      <c r="K24" s="9" t="inlineStr">
        <is>
          <t>Meets</t>
        </is>
      </c>
      <c r="L24" s="5" t="inlineStr">
        <is>
          <t>Every release; after every defect fix</t>
        </is>
      </c>
      <c r="M24" s="5" t="inlineStr">
        <is>
          <t>TC-EM-DOC-102 DOC-102.5 run 4</t>
        </is>
      </c>
      <c r="N24" s="5" t="inlineStr">
        <is>
          <t>Kishan Haravu Pradeep</t>
        </is>
      </c>
    </row>
    <row r="25">
      <c r="A25" s="5" t="inlineStr">
        <is>
          <t>NFR-S08</t>
        </is>
      </c>
      <c r="B25" s="5" t="inlineStr">
        <is>
          <t>Security</t>
        </is>
      </c>
      <c r="C25" s="5" t="inlineStr">
        <is>
          <t>Export gateway removes PII and keys</t>
        </is>
      </c>
      <c r="D25" s="5" t="inlineStr">
        <is>
          <t>RV-2026-07</t>
        </is>
      </c>
      <c r="E25" s="5" t="inlineStr">
        <is>
          <t>2026-10-06</t>
        </is>
      </c>
      <c r="F25" s="5" t="inlineStr">
        <is>
          <t>Acceptance testing</t>
        </is>
      </c>
      <c r="G25" s="5" t="inlineStr">
        <is>
          <t>No sensitive value in redacted copy</t>
        </is>
      </c>
      <c r="H25" s="5" t="inlineStr">
        <is>
          <t>2026-10-07</t>
        </is>
      </c>
      <c r="I25" s="5" t="inlineStr">
        <is>
          <t>Pass incl. sk-/pk- keys (fix e0ed4d0)</t>
        </is>
      </c>
      <c r="J25" s="5" t="inlineStr">
        <is>
          <t>2026-10-06</t>
        </is>
      </c>
      <c r="K25" s="9" t="inlineStr">
        <is>
          <t>Meets</t>
        </is>
      </c>
      <c r="L25" s="5" t="inlineStr">
        <is>
          <t>Every release; after every defect fix</t>
        </is>
      </c>
      <c r="M25" s="5" t="inlineStr">
        <is>
          <t>TC-EM-EXP-108 run 4</t>
        </is>
      </c>
      <c r="N25" s="5" t="inlineStr">
        <is>
          <t>Kishan Haravu Pradeep</t>
        </is>
      </c>
    </row>
    <row r="26">
      <c r="A26" s="5" t="inlineStr">
        <is>
          <t>NFR-R01</t>
        </is>
      </c>
      <c r="B26" s="5" t="inlineStr">
        <is>
          <t>Reliability</t>
        </is>
      </c>
      <c r="C26" s="5" t="inlineStr">
        <is>
          <t>Health checks that exercise the function</t>
        </is>
      </c>
      <c r="D26" s="5" t="inlineStr">
        <is>
          <t>RV-2026-07</t>
        </is>
      </c>
      <c r="E26" s="5" t="inlineStr">
        <is>
          <t>2026-10-06</t>
        </is>
      </c>
      <c r="F26" s="5" t="inlineStr">
        <is>
          <t>Health check stayed green while embeddings failed (NC-2026-016)</t>
        </is>
      </c>
      <c r="G26" s="5" t="inlineStr">
        <is>
          <t>All long-running services</t>
        </is>
      </c>
      <c r="H26" s="5" t="inlineStr">
        <is>
          <t>2026-10-07</t>
        </is>
      </c>
      <c r="I26" s="5" t="inlineStr">
        <is>
          <t>4 of 6 services; Ollama check now makes a real embedding (2026-10-07); frontend/cloudflared none</t>
        </is>
      </c>
      <c r="J26" s="5" t="inlineStr">
        <is>
          <t>2026-10-07</t>
        </is>
      </c>
      <c r="K26" s="10" t="inlineStr">
        <is>
          <t>Partial — action A-17-06</t>
        </is>
      </c>
      <c r="L26" s="5" t="inlineStr">
        <is>
          <t>Every 15–30 s</t>
        </is>
      </c>
      <c r="M26" s="5" t="inlineStr">
        <is>
          <t>docker-compose.yml; NC-2026-016</t>
        </is>
      </c>
      <c r="N26" s="5" t="inlineStr">
        <is>
          <t>Richard Watson Stephen Amudha</t>
        </is>
      </c>
    </row>
    <row r="27">
      <c r="A27" s="5" t="inlineStr">
        <is>
          <t>NFR-R02</t>
        </is>
      </c>
      <c r="B27" s="5" t="inlineStr">
        <is>
          <t>Reliability</t>
        </is>
      </c>
      <c r="C27" s="5" t="inlineStr">
        <is>
          <t>Automatic recovery from a fatal GPU fault</t>
        </is>
      </c>
      <c r="D27" s="5" t="inlineStr">
        <is>
          <t>Platform</t>
        </is>
      </c>
      <c r="E27" s="5" t="inlineStr">
        <is>
          <t>2026-06-26</t>
        </is>
      </c>
      <c r="F27" s="5" t="inlineStr">
        <is>
          <t>GPU faults on the shared platform</t>
        </is>
      </c>
      <c r="G27" s="5" t="inlineStr">
        <is>
          <t>Unattended recovery</t>
        </is>
      </c>
      <c r="H27" s="5" t="inlineStr">
        <is>
          <t>2026-10-07</t>
        </is>
      </c>
      <c r="I27" s="5" t="inlineStr">
        <is>
          <t>/health 503 + watchdog + restart policy</t>
        </is>
      </c>
      <c r="J27" s="5" t="inlineStr">
        <is>
          <t>2026-09-22</t>
        </is>
      </c>
      <c r="K27" s="9" t="inlineStr">
        <is>
          <t>Meets</t>
        </is>
      </c>
      <c r="L27" s="5" t="inlineStr">
        <is>
          <t>Every 15–30 s</t>
        </is>
      </c>
      <c r="M27" s="5" t="inlineStr">
        <is>
          <t>backend/app/main.py; docker-compose.yml</t>
        </is>
      </c>
      <c r="N27" s="5" t="inlineStr">
        <is>
          <t>Richard Watson Stephen Amudha</t>
        </is>
      </c>
    </row>
    <row r="28">
      <c r="A28" s="5" t="inlineStr">
        <is>
          <t>NFR-R03</t>
        </is>
      </c>
      <c r="B28" s="5" t="inlineStr">
        <is>
          <t>Reliability</t>
        </is>
      </c>
      <c r="C28" s="5" t="inlineStr">
        <is>
          <t>Bounded logs</t>
        </is>
      </c>
      <c r="D28" s="5" t="inlineStr">
        <is>
          <t>QMS G-11</t>
        </is>
      </c>
      <c r="E28" s="5" t="inlineStr">
        <is>
          <t>2026-09-21</t>
        </is>
      </c>
      <c r="F28" s="5" t="inlineStr">
        <is>
          <t>Unbounded logs</t>
        </is>
      </c>
      <c r="G28" s="5" t="inlineStr">
        <is>
          <t>50 MB × 5 per service</t>
        </is>
      </c>
      <c r="H28" s="5" t="inlineStr">
        <is>
          <t>2026-10-07</t>
        </is>
      </c>
      <c r="I28" s="5" t="inlineStr">
        <is>
          <t>Applied to all six containers</t>
        </is>
      </c>
      <c r="J28" s="5" t="inlineStr">
        <is>
          <t>2026-10-06</t>
        </is>
      </c>
      <c r="K28" s="9" t="inlineStr">
        <is>
          <t>Meets</t>
        </is>
      </c>
      <c r="L28" s="5" t="inlineStr">
        <is>
          <t>Each release</t>
        </is>
      </c>
      <c r="M28" s="5" t="inlineStr">
        <is>
          <t>docker inspect; REG-07</t>
        </is>
      </c>
      <c r="N28" s="5" t="inlineStr">
        <is>
          <t>Richard Watson Stephen Amudha</t>
        </is>
      </c>
    </row>
    <row r="29">
      <c r="A29" s="5" t="inlineStr">
        <is>
          <t>NFR-R04</t>
        </is>
      </c>
      <c r="B29" s="5" t="inlineStr">
        <is>
          <t>Reliability</t>
        </is>
      </c>
      <c r="C29" s="5" t="inlineStr">
        <is>
          <t>Customer data recoverable</t>
        </is>
      </c>
      <c r="D29" s="5" t="inlineStr">
        <is>
          <t>QMS G-03; 2025 lesson #18</t>
        </is>
      </c>
      <c r="E29" s="5" t="inlineStr">
        <is>
          <t>2026-09-21</t>
        </is>
      </c>
      <c r="F29" s="5" t="inlineStr">
        <is>
          <t>No backup of customer data</t>
        </is>
      </c>
      <c r="G29" s="5" t="inlineStr">
        <is>
          <t>Restore tested ≤ 6 months; nightly off-site copy</t>
        </is>
      </c>
      <c r="H29" s="5" t="inlineStr">
        <is>
          <t>2026-10-07</t>
        </is>
      </c>
      <c r="I29" s="5" t="inlineStr">
        <is>
          <t>Restore verified 2026-09-22; checksum verified 2026-10-06; off-site schedule not installed</t>
        </is>
      </c>
      <c r="J29" s="5" t="inlineStr">
        <is>
          <t>2026-10-06</t>
        </is>
      </c>
      <c r="K29" s="10" t="inlineStr">
        <is>
          <t>Partial — action A-17-07</t>
        </is>
      </c>
      <c r="L29" s="5" t="inlineStr">
        <is>
          <t>Each release</t>
        </is>
      </c>
      <c r="M29" s="5" t="inlineStr">
        <is>
          <t>TC-EM-BKP-113</t>
        </is>
      </c>
      <c r="N29" s="5" t="inlineStr">
        <is>
          <t>Kishan Haravu Pradeep</t>
        </is>
      </c>
    </row>
    <row r="30">
      <c r="A30" s="5" t="inlineStr">
        <is>
          <t>NFR-R05</t>
        </is>
      </c>
      <c r="B30" s="5" t="inlineStr">
        <is>
          <t>Reliability</t>
        </is>
      </c>
      <c r="C30" s="5" t="inlineStr">
        <is>
          <t>Reproducible builds</t>
        </is>
      </c>
      <c r="D30" s="5" t="inlineStr">
        <is>
          <t>NC-2026-006</t>
        </is>
      </c>
      <c r="E30" s="5" t="inlineStr">
        <is>
          <t>2026-09-04</t>
        </is>
      </c>
      <c r="F30" s="5" t="inlineStr">
        <is>
          <t>Build broke on a moving dependency</t>
        </is>
      </c>
      <c r="G30" s="5" t="inlineStr">
        <is>
          <t>All dependencies pinned</t>
        </is>
      </c>
      <c r="H30" s="5" t="inlineStr">
        <is>
          <t>2026-10-07</t>
        </is>
      </c>
      <c r="I30" s="5" t="inlineStr">
        <is>
          <t>NeMo pinned (60ce9407); ollama/cloudflared images unpinned</t>
        </is>
      </c>
      <c r="J30" s="5" t="inlineStr">
        <is>
          <t>2026-09-22</t>
        </is>
      </c>
      <c r="K30" s="10" t="inlineStr">
        <is>
          <t>Partial</t>
        </is>
      </c>
      <c r="L30" s="5" t="inlineStr">
        <is>
          <t>Each release</t>
        </is>
      </c>
      <c r="M30" s="5" t="inlineStr">
        <is>
          <t>Dockerfiles; REG-02</t>
        </is>
      </c>
      <c r="N30" s="5" t="inlineStr">
        <is>
          <t>Richard Watson Stephen Amudha</t>
        </is>
      </c>
    </row>
    <row r="31">
      <c r="A31" s="5" t="inlineStr">
        <is>
          <t>NFR-M01</t>
        </is>
      </c>
      <c r="B31" s="5" t="inlineStr">
        <is>
          <t>Maintainability</t>
        </is>
      </c>
      <c r="C31" s="5" t="inlineStr">
        <is>
          <t>Automated regression on every change</t>
        </is>
      </c>
      <c r="D31" s="5" t="inlineStr">
        <is>
          <t>RV-2026-05</t>
        </is>
      </c>
      <c r="E31" s="5" t="inlineStr">
        <is>
          <t>2026-09-28</t>
        </is>
      </c>
      <c r="F31" s="5" t="inlineStr">
        <is>
          <t>Failing tests unnoticed (NC-2026-010)</t>
        </is>
      </c>
      <c r="G31" s="5" t="inlineStr">
        <is>
          <t>Every push</t>
        </is>
      </c>
      <c r="H31" s="5" t="inlineStr">
        <is>
          <t>2026-10-07</t>
        </is>
      </c>
      <c r="I31" s="5" t="inlineStr">
        <is>
          <t>CI: backend 50, voice 131, type-check; proven to fail on a broken test</t>
        </is>
      </c>
      <c r="J31" s="5" t="inlineStr">
        <is>
          <t>2026-10-07</t>
        </is>
      </c>
      <c r="K31" s="9" t="inlineStr">
        <is>
          <t>Meets</t>
        </is>
      </c>
      <c r="L31" s="5" t="inlineStr">
        <is>
          <t>Every push and pull request</t>
        </is>
      </c>
      <c r="M31" s="5" t="inlineStr">
        <is>
          <t>CI runs 37561379960 / 37561804619</t>
        </is>
      </c>
      <c r="N31" s="5" t="inlineStr">
        <is>
          <t>Richard Watson Stephen Amudha</t>
        </is>
      </c>
    </row>
    <row r="32">
      <c r="A32" s="5" t="inlineStr">
        <is>
          <t>NFR-M02</t>
        </is>
      </c>
      <c r="B32" s="5" t="inlineStr">
        <is>
          <t>Maintainability</t>
        </is>
      </c>
      <c r="C32" s="5" t="inlineStr">
        <is>
          <t>Running instance traceable to source</t>
        </is>
      </c>
      <c r="D32" s="5" t="inlineStr">
        <is>
          <t>QMS G-01</t>
        </is>
      </c>
      <c r="E32" s="5" t="inlineStr">
        <is>
          <t>2026-09-21</t>
        </is>
      </c>
      <c r="F32" s="5" t="inlineStr">
        <is>
          <t>Instance not traceable to source</t>
        </is>
      </c>
      <c r="G32" s="5" t="inlineStr">
        <is>
          <t>Version + commit reported</t>
        </is>
      </c>
      <c r="H32" s="5" t="inlineStr">
        <is>
          <t>2026-10-07</t>
        </is>
      </c>
      <c r="I32" s="5" t="inlineStr">
        <is>
          <t>1.4.1 / f1b8445 on backend, voice and front end</t>
        </is>
      </c>
      <c r="J32" s="5" t="inlineStr">
        <is>
          <t>2026-10-06</t>
        </is>
      </c>
      <c r="K32" s="9" t="inlineStr">
        <is>
          <t>Meets</t>
        </is>
      </c>
      <c r="L32" s="5" t="inlineStr">
        <is>
          <t>Every release; after every defect fix</t>
        </is>
      </c>
      <c r="M32" s="5" t="inlineStr">
        <is>
          <t>/api/version; TC-EM-REL-106</t>
        </is>
      </c>
      <c r="N32" s="5" t="inlineStr">
        <is>
          <t>Richard Watson Stephen Amudha</t>
        </is>
      </c>
    </row>
    <row r="33">
      <c r="A33" s="5" t="inlineStr">
        <is>
          <t>NFR-D01</t>
        </is>
      </c>
      <c r="B33" s="5" t="inlineStr">
        <is>
          <t>Data protection</t>
        </is>
      </c>
      <c r="C33" s="5" t="inlineStr">
        <is>
          <t>Customer data never leaves the perimeter</t>
        </is>
      </c>
      <c r="D33" s="5" t="inlineStr">
        <is>
          <t>DR-2025-09 (2025 SOW)</t>
        </is>
      </c>
      <c r="E33" s="5" t="inlineStr">
        <is>
          <t>2025-08-05</t>
        </is>
      </c>
      <c r="F33" s="5" t="inlineStr">
        <is>
          <t>Fully offline, on-premises system</t>
        </is>
      </c>
      <c r="G33" s="5" t="inlineStr">
        <is>
          <t>Absolute</t>
        </is>
      </c>
      <c r="H33" s="5" t="inlineStr">
        <is>
          <t>2026-10-07</t>
        </is>
      </c>
      <c r="I33" s="5" t="inlineStr">
        <is>
          <t>All inference local; no cloud AI path enabled</t>
        </is>
      </c>
      <c r="J33" s="5" t="inlineStr">
        <is>
          <t>2026-10-07</t>
        </is>
      </c>
      <c r="K33" s="9" t="inlineStr">
        <is>
          <t>Meets</t>
        </is>
      </c>
      <c r="L33" s="5" t="inlineStr">
        <is>
          <t>Before and after any configuration change</t>
        </is>
      </c>
      <c r="M33" s="5" t="inlineStr">
        <is>
          <t>docker-compose.yml; REG-02</t>
        </is>
      </c>
      <c r="N33" s="5" t="inlineStr">
        <is>
          <t>Kishan Haravu Pradeep</t>
        </is>
      </c>
    </row>
    <row r="34">
      <c r="A34" s="5" t="inlineStr">
        <is>
          <t>NFR-D02</t>
        </is>
      </c>
      <c r="B34" s="5" t="inlineStr">
        <is>
          <t>Data protection</t>
        </is>
      </c>
      <c r="C34" s="5" t="inlineStr">
        <is>
          <t>Encryption at rest</t>
        </is>
      </c>
      <c r="D34" s="5" t="inlineStr">
        <is>
          <t>QMS R-13</t>
        </is>
      </c>
      <c r="E34" s="5" t="inlineStr">
        <is>
          <t>2026-09-21</t>
        </is>
      </c>
      <c r="F34" s="5" t="inlineStr">
        <is>
          <t>Encryption at rest</t>
        </is>
      </c>
      <c r="G34" s="5" t="inlineStr">
        <is>
          <t>Decision required</t>
        </is>
      </c>
      <c r="H34" s="5" t="inlineStr">
        <is>
          <t>2026-10-07</t>
        </is>
      </c>
      <c r="I34" s="5" t="inlineStr">
        <is>
          <t>None (SQLite, uploads, indexes unencrypted)</t>
        </is>
      </c>
      <c r="J34" s="5" t="inlineStr">
        <is>
          <t>2026-09-21</t>
        </is>
      </c>
      <c r="K34" s="11" t="inlineStr">
        <is>
          <t>Gap — decision A-17-08</t>
        </is>
      </c>
      <c r="L34" s="5" t="inlineStr">
        <is>
          <t>Each release</t>
        </is>
      </c>
      <c r="M34" s="5" t="inlineStr">
        <is>
          <t>REG-03 R-13</t>
        </is>
      </c>
      <c r="N34" s="5" t="inlineStr">
        <is>
          <t>Kishan Haravu Pradeep</t>
        </is>
      </c>
    </row>
    <row r="35">
      <c r="A35" s="5" t="inlineStr">
        <is>
          <t>NFR-D03</t>
        </is>
      </c>
      <c r="B35" s="5" t="inlineStr">
        <is>
          <t>Data protection</t>
        </is>
      </c>
      <c r="C35" s="5" t="inlineStr">
        <is>
          <t>Retention bounded per data class</t>
        </is>
      </c>
      <c r="D35" s="5" t="inlineStr">
        <is>
          <t>QMS R-06</t>
        </is>
      </c>
      <c r="E35" s="5" t="inlineStr">
        <is>
          <t>2026-09-21</t>
        </is>
      </c>
      <c r="F35" s="5" t="inlineStr">
        <is>
          <t>Retention</t>
        </is>
      </c>
      <c r="G35" s="5" t="inlineStr">
        <is>
          <t>Per class, in days (decision)</t>
        </is>
      </c>
      <c r="H35" s="5" t="inlineStr">
        <is>
          <t>2026-10-07</t>
        </is>
      </c>
      <c r="I35" s="5" t="inlineStr">
        <is>
          <t>No policy</t>
        </is>
      </c>
      <c r="J35" s="5" t="inlineStr">
        <is>
          <t>2026-09-21</t>
        </is>
      </c>
      <c r="K35" s="11" t="inlineStr">
        <is>
          <t>Gap — decision A-17-08</t>
        </is>
      </c>
      <c r="L35" s="5" t="inlineStr">
        <is>
          <t>Each release</t>
        </is>
      </c>
      <c r="M35" s="5" t="inlineStr">
        <is>
          <t>REG-03 R-06</t>
        </is>
      </c>
      <c r="N35" s="5" t="inlineStr">
        <is>
          <t>Kishan Haravu Pradeep</t>
        </is>
      </c>
    </row>
  </sheetData>
  <autoFilter ref="A4:N35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26" customWidth="1" min="4" max="4"/>
    <col width="40" customWidth="1" min="5" max="5"/>
    <col width="11" customWidth="1" min="6" max="6"/>
    <col width="32" customWidth="1" min="7" max="7"/>
    <col width="12" customWidth="1" min="8" max="8"/>
    <col width="26" customWidth="1" min="9" max="9"/>
  </cols>
  <sheetData>
    <row r="1">
      <c r="A1" s="6" t="inlineStr">
        <is>
          <t>2025 appliance — non-functional requirements</t>
        </is>
      </c>
    </row>
    <row r="2">
      <c r="A2" s="7" t="inlineStr">
        <is>
          <t>From the 2025 SOW, design inputs and the May–Sep 2025 lessons log (CR-2025-01…04).</t>
        </is>
      </c>
    </row>
    <row r="4">
      <c r="A4" s="8" t="inlineStr">
        <is>
          <t>NFR ID</t>
        </is>
      </c>
      <c r="B4" s="8" t="inlineStr">
        <is>
          <t>Category</t>
        </is>
      </c>
      <c r="C4" s="8" t="inlineStr">
        <is>
          <t>Requirement</t>
        </is>
      </c>
      <c r="D4" s="8" t="inlineStr">
        <is>
          <t>Target</t>
        </is>
      </c>
      <c r="E4" s="8" t="inlineStr">
        <is>
          <t>Result</t>
        </is>
      </c>
      <c r="F4" s="8" t="inlineStr">
        <is>
          <t>Date</t>
        </is>
      </c>
      <c r="G4" s="8" t="inlineStr">
        <is>
          <t>Source</t>
        </is>
      </c>
      <c r="H4" s="8" t="inlineStr">
        <is>
          <t>Status</t>
        </is>
      </c>
      <c r="I4" s="8" t="inlineStr">
        <is>
          <t>Carried into 2026</t>
        </is>
      </c>
    </row>
    <row r="5">
      <c r="A5" s="5" t="inlineStr">
        <is>
          <t>NFR-2025-01</t>
        </is>
      </c>
      <c r="B5" s="5" t="inlineStr">
        <is>
          <t>Data protection</t>
        </is>
      </c>
      <c r="C5" s="5" t="inlineStr">
        <is>
          <t>Fully offline, on-premises operation</t>
        </is>
      </c>
      <c r="D5" s="5" t="inlineStr">
        <is>
          <t>Absolute</t>
        </is>
      </c>
      <c r="E5" s="5" t="inlineStr">
        <is>
          <t>Met — appliance delivered offline (Sep 2025)</t>
        </is>
      </c>
      <c r="F5" s="5" t="inlineStr">
        <is>
          <t>2025-09-20</t>
        </is>
      </c>
      <c r="G5" s="5" t="inlineStr">
        <is>
          <t>SOW 2025-08-05; ECH-QMS-010</t>
        </is>
      </c>
      <c r="H5" s="9" t="inlineStr">
        <is>
          <t>Met</t>
        </is>
      </c>
      <c r="I5" s="5" t="inlineStr">
        <is>
          <t>Carried into NFR-D01</t>
        </is>
      </c>
    </row>
    <row r="6">
      <c r="A6" s="5" t="inlineStr">
        <is>
          <t>NFR-2025-02</t>
        </is>
      </c>
      <c r="B6" s="5" t="inlineStr">
        <is>
          <t>Performance</t>
        </is>
      </c>
      <c r="C6" s="5" t="inlineStr">
        <is>
          <t>Hardware sized for offline RAG (RTX 4090 GPU)</t>
        </is>
      </c>
      <c r="D6" s="5" t="inlineStr">
        <is>
          <t>Design input</t>
        </is>
      </c>
      <c r="E6" s="5" t="inlineStr">
        <is>
          <t>Met</t>
        </is>
      </c>
      <c r="F6" s="5" t="inlineStr">
        <is>
          <t>2025-07-10</t>
        </is>
      </c>
      <c r="G6" s="5" t="inlineStr">
        <is>
          <t>ECH-QMS-011; prototype review DR-2025-05</t>
        </is>
      </c>
      <c r="H6" s="9" t="inlineStr">
        <is>
          <t>Met</t>
        </is>
      </c>
      <c r="I6" s="5" t="inlineStr">
        <is>
          <t>Replaced by the DGX Spark (2026)</t>
        </is>
      </c>
    </row>
    <row r="7">
      <c r="A7" s="5" t="inlineStr">
        <is>
          <t>NFR-2025-03</t>
        </is>
      </c>
      <c r="B7" s="5" t="inlineStr">
        <is>
          <t>Performance</t>
        </is>
      </c>
      <c r="C7" s="5" t="inlineStr">
        <is>
          <t>API responsive under load (LLM and transcription together)</t>
        </is>
      </c>
      <c r="D7" s="5" t="inlineStr">
        <is>
          <t>No delays under load</t>
        </is>
      </c>
      <c r="E7" s="5" t="inlineStr">
        <is>
          <t>Container limits rebalanced (CR-2025-01)</t>
        </is>
      </c>
      <c r="F7" s="5" t="inlineStr">
        <is>
          <t>2025</t>
        </is>
      </c>
      <c r="G7" s="5" t="inlineStr">
        <is>
          <t>2025 lessons log #1</t>
        </is>
      </c>
      <c r="H7" s="9" t="inlineStr">
        <is>
          <t>Met</t>
        </is>
      </c>
      <c r="I7" s="5" t="inlineStr">
        <is>
          <t>Carried into NFR-P01</t>
        </is>
      </c>
    </row>
    <row r="8">
      <c r="A8" s="5" t="inlineStr">
        <is>
          <t>NFR-2025-04</t>
        </is>
      </c>
      <c r="B8" s="5" t="inlineStr">
        <is>
          <t>Performance</t>
        </is>
      </c>
      <c r="C8" s="5" t="inlineStr">
        <is>
          <t>No latency spikes on large audio</t>
        </is>
      </c>
      <c r="D8" s="5" t="inlineStr">
        <is>
          <t>Streaming without spikes</t>
        </is>
      </c>
      <c r="E8" s="5" t="inlineStr">
        <is>
          <t>Progressive streaming and async buffering (CR-2025-01)</t>
        </is>
      </c>
      <c r="F8" s="5" t="inlineStr">
        <is>
          <t>2025</t>
        </is>
      </c>
      <c r="G8" s="5" t="inlineStr">
        <is>
          <t>2025 lessons log #9</t>
        </is>
      </c>
      <c r="H8" s="9" t="inlineStr">
        <is>
          <t>Met</t>
        </is>
      </c>
      <c r="I8" s="5" t="inlineStr">
        <is>
          <t>Carried into NFR-P06</t>
        </is>
      </c>
    </row>
    <row r="9">
      <c r="A9" s="5" t="inlineStr">
        <is>
          <t>NFR-2025-05</t>
        </is>
      </c>
      <c r="B9" s="5" t="inlineStr">
        <is>
          <t>Security</t>
        </is>
      </c>
      <c r="C9" s="5" t="inlineStr">
        <is>
          <t>No secrets in plain text</t>
        </is>
      </c>
      <c r="D9" s="5" t="inlineStr">
        <is>
          <t>Tokens stored securely</t>
        </is>
      </c>
      <c r="E9" s="5" t="inlineStr">
        <is>
          <t>JWT and environment vault (CR-2025-02)</t>
        </is>
      </c>
      <c r="F9" s="5" t="inlineStr">
        <is>
          <t>2025</t>
        </is>
      </c>
      <c r="G9" s="5" t="inlineStr">
        <is>
          <t>2025 lessons log #3</t>
        </is>
      </c>
      <c r="H9" s="9" t="inlineStr">
        <is>
          <t>Met</t>
        </is>
      </c>
      <c r="I9" s="5" t="inlineStr">
        <is>
          <t>Carried into NFR-S05/S06</t>
        </is>
      </c>
    </row>
    <row r="10">
      <c r="A10" s="5" t="inlineStr">
        <is>
          <t>NFR-2025-06</t>
        </is>
      </c>
      <c r="B10" s="5" t="inlineStr">
        <is>
          <t>Reliability</t>
        </is>
      </c>
      <c r="C10" s="5" t="inlineStr">
        <is>
          <t>Back up before redeploying</t>
        </is>
      </c>
      <c r="D10" s="5" t="inlineStr">
        <is>
          <t>Snapshot before every redeploy</t>
        </is>
      </c>
      <c r="E10" s="5" t="inlineStr">
        <is>
          <t>Automated pre-redeploy snapshot (CR-2025-01)</t>
        </is>
      </c>
      <c r="F10" s="5" t="inlineStr">
        <is>
          <t>2025</t>
        </is>
      </c>
      <c r="G10" s="5" t="inlineStr">
        <is>
          <t>2025 lessons log #18</t>
        </is>
      </c>
      <c r="H10" s="9" t="inlineStr">
        <is>
          <t>Met</t>
        </is>
      </c>
      <c r="I10" s="5" t="inlineStr">
        <is>
          <t>Carried into NFR-R04</t>
        </is>
      </c>
    </row>
    <row r="11">
      <c r="A11" s="5" t="inlineStr">
        <is>
          <t>NFR-2025-07</t>
        </is>
      </c>
      <c r="B11" s="5" t="inlineStr">
        <is>
          <t>Maintainability</t>
        </is>
      </c>
      <c r="C11" s="5" t="inlineStr">
        <is>
          <t>Versioned deployments</t>
        </is>
      </c>
      <c r="D11" s="5" t="inlineStr">
        <is>
          <t>Every image tagged</t>
        </is>
      </c>
      <c r="E11" s="5" t="inlineStr">
        <is>
          <t>Mandatory version tagging (CR-2025-01)</t>
        </is>
      </c>
      <c r="F11" s="5" t="inlineStr">
        <is>
          <t>2025</t>
        </is>
      </c>
      <c r="G11" s="5" t="inlineStr">
        <is>
          <t>2025 lessons log #2</t>
        </is>
      </c>
      <c r="H11" s="9" t="inlineStr">
        <is>
          <t>Met</t>
        </is>
      </c>
      <c r="I11" s="5" t="inlineStr">
        <is>
          <t>Carried into NFR-M02</t>
        </is>
      </c>
    </row>
    <row r="12">
      <c r="A12" s="5" t="inlineStr">
        <is>
          <t>NFR-2025-08</t>
        </is>
      </c>
      <c r="B12" s="5" t="inlineStr">
        <is>
          <t>Service</t>
        </is>
      </c>
      <c r="C12" s="5" t="inlineStr">
        <is>
          <t>Post-delivery support</t>
        </is>
      </c>
      <c r="D12" s="5" t="inlineStr">
        <is>
          <t>1-year warranty; 20 h consulting</t>
        </is>
      </c>
      <c r="E12" s="5" t="inlineStr">
        <is>
          <t>Defined in the SOW</t>
        </is>
      </c>
      <c r="F12" s="5" t="inlineStr">
        <is>
          <t>2025-08-05</t>
        </is>
      </c>
      <c r="G12" s="5" t="inlineStr">
        <is>
          <t>SOW; ECH-QMS-013</t>
        </is>
      </c>
      <c r="H12" s="9" t="inlineStr">
        <is>
          <t>Met (defined)</t>
        </is>
      </c>
      <c r="I12" s="5" t="inlineStr">
        <is>
          <t>—</t>
        </is>
      </c>
    </row>
    <row r="13">
      <c r="A13" s="5" t="inlineStr">
        <is>
          <t>NFR-2025-09</t>
        </is>
      </c>
      <c r="B13" s="5" t="inlineStr">
        <is>
          <t>Records</t>
        </is>
      </c>
      <c r="C13" s="5" t="inlineStr">
        <is>
          <t>Project records retained</t>
        </is>
      </c>
      <c r="D13" s="5" t="inlineStr">
        <is>
          <t>7 years</t>
        </is>
      </c>
      <c r="E13" s="5" t="inlineStr">
        <is>
          <t>ECH-QMS-008</t>
        </is>
      </c>
      <c r="F13" s="5" t="inlineStr">
        <is>
          <t>2025</t>
        </is>
      </c>
      <c r="G13" s="5" t="inlineStr">
        <is>
          <t>ECH-QMS-008</t>
        </is>
      </c>
      <c r="H13" s="9" t="inlineStr">
        <is>
          <t>Met</t>
        </is>
      </c>
      <c r="I13" s="5" t="inlineStr">
        <is>
          <t>Carried into SOP-01</t>
        </is>
      </c>
    </row>
  </sheetData>
  <autoFilter ref="A4:I13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8" customWidth="1" min="3" max="3"/>
    <col width="30" customWidth="1" min="4" max="4"/>
    <col width="50" customWidth="1" min="5" max="5"/>
    <col width="40" customWidth="1" min="6" max="6"/>
    <col width="40" customWidth="1" min="7" max="7"/>
  </cols>
  <sheetData>
    <row r="1">
      <c r="A1" s="6" t="inlineStr">
        <is>
          <t>Measurement history</t>
        </is>
      </c>
    </row>
    <row r="2">
      <c r="A2" s="7" t="inlineStr">
        <is>
          <t>Golden-suite runs are listed individually from eval/reports; other measurements from the paper harness, acceptance runs and CI.</t>
        </is>
      </c>
    </row>
    <row r="4">
      <c r="A4" s="8" t="inlineStr">
        <is>
          <t>Date</t>
        </is>
      </c>
      <c r="B4" s="8" t="inlineStr">
        <is>
          <t>Version</t>
        </is>
      </c>
      <c r="C4" s="8" t="inlineStr">
        <is>
          <t>NFR</t>
        </is>
      </c>
      <c r="D4" s="8" t="inlineStr">
        <is>
          <t>Measurement</t>
        </is>
      </c>
      <c r="E4" s="8" t="inlineStr">
        <is>
          <t>Result</t>
        </is>
      </c>
      <c r="F4" s="8" t="inlineStr">
        <is>
          <t>Status / note</t>
        </is>
      </c>
      <c r="G4" s="8" t="inlineStr">
        <is>
          <t>Evidence</t>
        </is>
      </c>
    </row>
    <row r="5">
      <c r="A5" s="5" t="inlineStr">
        <is>
          <t>2026-07-29 12:39</t>
        </is>
      </c>
      <c r="B5" s="5" t="inlineStr">
        <is>
          <t>v1.3.0</t>
        </is>
      </c>
      <c r="C5" s="5" t="inlineStr">
        <is>
          <t>NFR-Q05</t>
        </is>
      </c>
      <c r="D5" s="5" t="inlineStr">
        <is>
          <t>Golden suite</t>
        </is>
      </c>
      <c r="E5" s="5" t="inlineStr">
        <is>
          <t>29/52</t>
        </is>
      </c>
      <c r="F5" s="5" t="inlineStr">
        <is>
          <t>First run of the new harness</t>
        </is>
      </c>
      <c r="G5" s="5" t="inlineStr">
        <is>
          <t>eval/reports/eval_20260729-123923.json</t>
        </is>
      </c>
    </row>
    <row r="6">
      <c r="A6" s="5" t="inlineStr">
        <is>
          <t>2026-07-29 12:48</t>
        </is>
      </c>
      <c r="B6" s="5" t="inlineStr">
        <is>
          <t>v1.3.0</t>
        </is>
      </c>
      <c r="C6" s="5" t="inlineStr">
        <is>
          <t>NFR-Q05</t>
        </is>
      </c>
      <c r="D6" s="5" t="inlineStr">
        <is>
          <t>Golden suite</t>
        </is>
      </c>
      <c r="E6" s="5" t="inlineStr">
        <is>
          <t>27/52</t>
        </is>
      </c>
      <c r="F6" s="5" t="inlineStr">
        <is>
          <t>Tuning run</t>
        </is>
      </c>
      <c r="G6" s="5" t="inlineStr">
        <is>
          <t>eval/reports/eval_20260729-124803.json</t>
        </is>
      </c>
    </row>
    <row r="7">
      <c r="A7" s="5" t="inlineStr">
        <is>
          <t>2026-07-29 13:00</t>
        </is>
      </c>
      <c r="B7" s="5" t="inlineStr">
        <is>
          <t>v1.3.0</t>
        </is>
      </c>
      <c r="C7" s="5" t="inlineStr">
        <is>
          <t>NFR-Q05</t>
        </is>
      </c>
      <c r="D7" s="5" t="inlineStr">
        <is>
          <t>Golden suite</t>
        </is>
      </c>
      <c r="E7" s="5" t="inlineStr">
        <is>
          <t>44/52</t>
        </is>
      </c>
      <c r="F7" s="5" t="inlineStr">
        <is>
          <t>Tuning run</t>
        </is>
      </c>
      <c r="G7" s="5" t="inlineStr">
        <is>
          <t>eval/reports/eval_20260729-130027.json</t>
        </is>
      </c>
    </row>
    <row r="8">
      <c r="A8" s="5" t="inlineStr">
        <is>
          <t>2026-07-29 13:09</t>
        </is>
      </c>
      <c r="B8" s="5" t="inlineStr">
        <is>
          <t>v1.3.0</t>
        </is>
      </c>
      <c r="C8" s="5" t="inlineStr">
        <is>
          <t>NFR-Q05</t>
        </is>
      </c>
      <c r="D8" s="5" t="inlineStr">
        <is>
          <t>Golden suite</t>
        </is>
      </c>
      <c r="E8" s="5" t="inlineStr">
        <is>
          <t>47/52</t>
        </is>
      </c>
      <c r="F8" s="5" t="inlineStr">
        <is>
          <t>Tuning run</t>
        </is>
      </c>
      <c r="G8" s="5" t="inlineStr">
        <is>
          <t>eval/reports/eval_20260729-130900.json</t>
        </is>
      </c>
    </row>
    <row r="9">
      <c r="A9" s="5" t="inlineStr">
        <is>
          <t>2026-07-29 13:18</t>
        </is>
      </c>
      <c r="B9" s="5" t="inlineStr">
        <is>
          <t>v1.3.0</t>
        </is>
      </c>
      <c r="C9" s="5" t="inlineStr">
        <is>
          <t>NFR-Q05</t>
        </is>
      </c>
      <c r="D9" s="5" t="inlineStr">
        <is>
          <t>Golden suite</t>
        </is>
      </c>
      <c r="E9" s="5" t="inlineStr">
        <is>
          <t>48/52</t>
        </is>
      </c>
      <c r="F9" s="5" t="inlineStr">
        <is>
          <t>Tuning run</t>
        </is>
      </c>
      <c r="G9" s="5" t="inlineStr">
        <is>
          <t>eval/reports/eval_20260729-131815.json</t>
        </is>
      </c>
    </row>
    <row r="10">
      <c r="A10" s="5" t="inlineStr">
        <is>
          <t>2026-07-29 13:45</t>
        </is>
      </c>
      <c r="B10" s="5" t="inlineStr">
        <is>
          <t>v1.3.0</t>
        </is>
      </c>
      <c r="C10" s="5" t="inlineStr">
        <is>
          <t>NFR-Q05</t>
        </is>
      </c>
      <c r="D10" s="5" t="inlineStr">
        <is>
          <t>Golden suite</t>
        </is>
      </c>
      <c r="E10" s="5" t="inlineStr">
        <is>
          <t>48/52</t>
        </is>
      </c>
      <c r="F10" s="5" t="inlineStr">
        <is>
          <t>Tuning run</t>
        </is>
      </c>
      <c r="G10" s="5" t="inlineStr">
        <is>
          <t>eval/reports/eval_20260729-134521.json</t>
        </is>
      </c>
    </row>
    <row r="11">
      <c r="A11" s="5" t="inlineStr">
        <is>
          <t>2026-07-29 18:45</t>
        </is>
      </c>
      <c r="B11" s="5" t="inlineStr">
        <is>
          <t>v1.3.0</t>
        </is>
      </c>
      <c r="C11" s="5" t="inlineStr">
        <is>
          <t>NFR-Q05</t>
        </is>
      </c>
      <c r="D11" s="5" t="inlineStr">
        <is>
          <t>Golden suite</t>
        </is>
      </c>
      <c r="E11" s="5" t="inlineStr">
        <is>
          <t>48/52</t>
        </is>
      </c>
      <c r="F11" s="5" t="inlineStr">
        <is>
          <t>Tuning run</t>
        </is>
      </c>
      <c r="G11" s="5" t="inlineStr">
        <is>
          <t>eval/reports/eval_20260729-184535.json</t>
        </is>
      </c>
    </row>
    <row r="12">
      <c r="A12" s="5" t="inlineStr">
        <is>
          <t>2026-07-29 18:54</t>
        </is>
      </c>
      <c r="B12" s="5" t="inlineStr">
        <is>
          <t>v1.3.0</t>
        </is>
      </c>
      <c r="C12" s="5" t="inlineStr">
        <is>
          <t>NFR-Q05</t>
        </is>
      </c>
      <c r="D12" s="5" t="inlineStr">
        <is>
          <t>Golden suite</t>
        </is>
      </c>
      <c r="E12" s="5" t="inlineStr">
        <is>
          <t>47/52</t>
        </is>
      </c>
      <c r="F12" s="5" t="inlineStr">
        <is>
          <t>Tuning run</t>
        </is>
      </c>
      <c r="G12" s="5" t="inlineStr">
        <is>
          <t>eval/reports/eval_20260729-185435.json</t>
        </is>
      </c>
    </row>
    <row r="13">
      <c r="A13" s="5" t="inlineStr">
        <is>
          <t>2026-07-29 19:51</t>
        </is>
      </c>
      <c r="B13" s="5" t="inlineStr">
        <is>
          <t>v1.3.0</t>
        </is>
      </c>
      <c r="C13" s="5" t="inlineStr">
        <is>
          <t>NFR-Q05</t>
        </is>
      </c>
      <c r="D13" s="5" t="inlineStr">
        <is>
          <t>Golden suite</t>
        </is>
      </c>
      <c r="E13" s="5" t="inlineStr">
        <is>
          <t>43/52</t>
        </is>
      </c>
      <c r="F13" s="5" t="inlineStr">
        <is>
          <t>Tuning run</t>
        </is>
      </c>
      <c r="G13" s="5" t="inlineStr">
        <is>
          <t>eval/reports/eval_20260729-195109.json</t>
        </is>
      </c>
    </row>
    <row r="14">
      <c r="A14" s="5" t="inlineStr">
        <is>
          <t>2026-07-29 19:59</t>
        </is>
      </c>
      <c r="B14" s="5" t="inlineStr">
        <is>
          <t>v1.3.0</t>
        </is>
      </c>
      <c r="C14" s="5" t="inlineStr">
        <is>
          <t>NFR-Q05</t>
        </is>
      </c>
      <c r="D14" s="5" t="inlineStr">
        <is>
          <t>Golden suite</t>
        </is>
      </c>
      <c r="E14" s="5" t="inlineStr">
        <is>
          <t>0/7</t>
        </is>
      </c>
      <c r="F14" s="5" t="inlineStr">
        <is>
          <t>Smoke subset (7 questions)</t>
        </is>
      </c>
      <c r="G14" s="5" t="inlineStr">
        <is>
          <t>eval/reports/eval_20260729-195914.json</t>
        </is>
      </c>
    </row>
    <row r="15">
      <c r="A15" s="5" t="inlineStr">
        <is>
          <t>2026-07-29 20:03</t>
        </is>
      </c>
      <c r="B15" s="5" t="inlineStr">
        <is>
          <t>v1.3.0</t>
        </is>
      </c>
      <c r="C15" s="5" t="inlineStr">
        <is>
          <t>NFR-Q05</t>
        </is>
      </c>
      <c r="D15" s="5" t="inlineStr">
        <is>
          <t>Golden suite</t>
        </is>
      </c>
      <c r="E15" s="5" t="inlineStr">
        <is>
          <t>0/7</t>
        </is>
      </c>
      <c r="F15" s="5" t="inlineStr">
        <is>
          <t>Smoke subset (7 questions)</t>
        </is>
      </c>
      <c r="G15" s="5" t="inlineStr">
        <is>
          <t>eval/reports/eval_20260729-200328.json</t>
        </is>
      </c>
    </row>
    <row r="16">
      <c r="A16" s="5" t="inlineStr">
        <is>
          <t>2026-07-29 20:10</t>
        </is>
      </c>
      <c r="B16" s="5" t="inlineStr">
        <is>
          <t>v1.3.0</t>
        </is>
      </c>
      <c r="C16" s="5" t="inlineStr">
        <is>
          <t>NFR-Q05</t>
        </is>
      </c>
      <c r="D16" s="5" t="inlineStr">
        <is>
          <t>Golden suite</t>
        </is>
      </c>
      <c r="E16" s="5" t="inlineStr">
        <is>
          <t>48/52</t>
        </is>
      </c>
      <c r="F16" s="5" t="inlineStr">
        <is>
          <t>Tuning run</t>
        </is>
      </c>
      <c r="G16" s="5" t="inlineStr">
        <is>
          <t>eval/reports/eval_20260729-201050.json</t>
        </is>
      </c>
    </row>
    <row r="17">
      <c r="A17" s="5" t="inlineStr">
        <is>
          <t>2026-07-29 20:33</t>
        </is>
      </c>
      <c r="B17" s="5" t="inlineStr">
        <is>
          <t>v1.3.0</t>
        </is>
      </c>
      <c r="C17" s="5" t="inlineStr">
        <is>
          <t>NFR-Q05</t>
        </is>
      </c>
      <c r="D17" s="5" t="inlineStr">
        <is>
          <t>Golden suite</t>
        </is>
      </c>
      <c r="E17" s="5" t="inlineStr">
        <is>
          <t>48/52</t>
        </is>
      </c>
      <c r="F17" s="5" t="inlineStr">
        <is>
          <t>Tuning run</t>
        </is>
      </c>
      <c r="G17" s="5" t="inlineStr">
        <is>
          <t>eval/reports/eval_20260729-203340.json</t>
        </is>
      </c>
    </row>
    <row r="18">
      <c r="A18" s="5" t="inlineStr">
        <is>
          <t>2026-07-29 20:42</t>
        </is>
      </c>
      <c r="B18" s="5" t="inlineStr">
        <is>
          <t>v1.3.0</t>
        </is>
      </c>
      <c r="C18" s="5" t="inlineStr">
        <is>
          <t>NFR-Q05</t>
        </is>
      </c>
      <c r="D18" s="5" t="inlineStr">
        <is>
          <t>Golden suite</t>
        </is>
      </c>
      <c r="E18" s="5" t="inlineStr">
        <is>
          <t>49/52</t>
        </is>
      </c>
      <c r="F18" s="5" t="inlineStr">
        <is>
          <t>Tuning run</t>
        </is>
      </c>
      <c r="G18" s="5" t="inlineStr">
        <is>
          <t>eval/reports/eval_20260729-204248.json</t>
        </is>
      </c>
    </row>
    <row r="19">
      <c r="A19" s="5" t="inlineStr">
        <is>
          <t>2026-07-29 21:52</t>
        </is>
      </c>
      <c r="B19" s="5" t="inlineStr">
        <is>
          <t>v1.3.0</t>
        </is>
      </c>
      <c r="C19" s="5" t="inlineStr">
        <is>
          <t>NFR-Q05</t>
        </is>
      </c>
      <c r="D19" s="5" t="inlineStr">
        <is>
          <t>Golden suite</t>
        </is>
      </c>
      <c r="E19" s="5" t="inlineStr">
        <is>
          <t>48/52</t>
        </is>
      </c>
      <c r="F19" s="5" t="inlineStr">
        <is>
          <t>Tuning run</t>
        </is>
      </c>
      <c r="G19" s="5" t="inlineStr">
        <is>
          <t>eval/reports/eval_20260729-215246.json</t>
        </is>
      </c>
    </row>
    <row r="20">
      <c r="A20" s="5" t="inlineStr">
        <is>
          <t>2026-07-29 22:47</t>
        </is>
      </c>
      <c r="B20" s="5" t="inlineStr">
        <is>
          <t>v1.3.0</t>
        </is>
      </c>
      <c r="C20" s="5" t="inlineStr">
        <is>
          <t>NFR-Q05</t>
        </is>
      </c>
      <c r="D20" s="5" t="inlineStr">
        <is>
          <t>Golden suite</t>
        </is>
      </c>
      <c r="E20" s="5" t="inlineStr">
        <is>
          <t>46/52</t>
        </is>
      </c>
      <c r="F20" s="5" t="inlineStr">
        <is>
          <t>Tuning run</t>
        </is>
      </c>
      <c r="G20" s="5" t="inlineStr">
        <is>
          <t>eval/reports/eval_20260729-224713.json</t>
        </is>
      </c>
    </row>
    <row r="21">
      <c r="A21" s="5" t="inlineStr">
        <is>
          <t>2026-07-29 22:56</t>
        </is>
      </c>
      <c r="B21" s="5" t="inlineStr">
        <is>
          <t>v1.3.0</t>
        </is>
      </c>
      <c r="C21" s="5" t="inlineStr">
        <is>
          <t>NFR-Q05</t>
        </is>
      </c>
      <c r="D21" s="5" t="inlineStr">
        <is>
          <t>Golden suite</t>
        </is>
      </c>
      <c r="E21" s="5" t="inlineStr">
        <is>
          <t>48/52</t>
        </is>
      </c>
      <c r="F21" s="5" t="inlineStr">
        <is>
          <t>Tuning run</t>
        </is>
      </c>
      <c r="G21" s="5" t="inlineStr">
        <is>
          <t>eval/reports/eval_20260729-225633.json</t>
        </is>
      </c>
    </row>
    <row r="22">
      <c r="A22" s="5" t="inlineStr">
        <is>
          <t>2026-07-29 22:56</t>
        </is>
      </c>
      <c r="B22" s="5" t="inlineStr">
        <is>
          <t>v1.3.0</t>
        </is>
      </c>
      <c r="C22" s="5" t="inlineStr">
        <is>
          <t>NFR-Q05</t>
        </is>
      </c>
      <c r="D22" s="5" t="inlineStr">
        <is>
          <t>Golden suite</t>
        </is>
      </c>
      <c r="E22" s="5" t="inlineStr">
        <is>
          <t>48/52</t>
        </is>
      </c>
      <c r="F22" s="5" t="inlineStr">
        <is>
          <t>Tuning run</t>
        </is>
      </c>
      <c r="G22" s="5" t="inlineStr">
        <is>
          <t>eval/reports/eval_20260729-225644.json</t>
        </is>
      </c>
    </row>
    <row r="23">
      <c r="A23" s="5" t="inlineStr">
        <is>
          <t>2026-07-29 23:10</t>
        </is>
      </c>
      <c r="B23" s="5" t="inlineStr">
        <is>
          <t>v1.3.0</t>
        </is>
      </c>
      <c r="C23" s="5" t="inlineStr">
        <is>
          <t>NFR-Q05</t>
        </is>
      </c>
      <c r="D23" s="5" t="inlineStr">
        <is>
          <t>Golden suite</t>
        </is>
      </c>
      <c r="E23" s="5" t="inlineStr">
        <is>
          <t>48/52</t>
        </is>
      </c>
      <c r="F23" s="5" t="inlineStr">
        <is>
          <t>Tuning run</t>
        </is>
      </c>
      <c r="G23" s="5" t="inlineStr">
        <is>
          <t>eval/reports/eval_20260729-231034.json</t>
        </is>
      </c>
    </row>
    <row r="24">
      <c r="A24" s="5" t="inlineStr">
        <is>
          <t>2026-07-30 01:59</t>
        </is>
      </c>
      <c r="B24" s="5" t="inlineStr">
        <is>
          <t>v1.3.0</t>
        </is>
      </c>
      <c r="C24" s="5" t="inlineStr">
        <is>
          <t>NFR-Q05</t>
        </is>
      </c>
      <c r="D24" s="5" t="inlineStr">
        <is>
          <t>Golden suite</t>
        </is>
      </c>
      <c r="E24" s="5" t="inlineStr">
        <is>
          <t>43/52</t>
        </is>
      </c>
      <c r="F24" s="5" t="inlineStr">
        <is>
          <t>Tuning run</t>
        </is>
      </c>
      <c r="G24" s="5" t="inlineStr">
        <is>
          <t>eval/reports/eval_20260730-015940.json</t>
        </is>
      </c>
    </row>
    <row r="25">
      <c r="A25" s="5" t="inlineStr">
        <is>
          <t>2026-07-30 02:06</t>
        </is>
      </c>
      <c r="B25" s="5" t="inlineStr">
        <is>
          <t>v1.3.0</t>
        </is>
      </c>
      <c r="C25" s="5" t="inlineStr">
        <is>
          <t>NFR-Q05</t>
        </is>
      </c>
      <c r="D25" s="5" t="inlineStr">
        <is>
          <t>Golden suite</t>
        </is>
      </c>
      <c r="E25" s="5" t="inlineStr">
        <is>
          <t>50/52</t>
        </is>
      </c>
      <c r="F25" s="5" t="inlineStr">
        <is>
          <t>Baseline 50/52 — release gate set at ≥ 49</t>
        </is>
      </c>
      <c r="G25" s="5" t="inlineStr">
        <is>
          <t>eval/reports/eval_20260730-020659.json</t>
        </is>
      </c>
    </row>
    <row r="26">
      <c r="A26" s="5" t="inlineStr">
        <is>
          <t>2026-08-06 14:22</t>
        </is>
      </c>
      <c r="B26" s="5" t="inlineStr">
        <is>
          <t>v1.3.0</t>
        </is>
      </c>
      <c r="C26" s="5" t="inlineStr">
        <is>
          <t>NFR-Q05</t>
        </is>
      </c>
      <c r="D26" s="5" t="inlineStr">
        <is>
          <t>Golden suite</t>
        </is>
      </c>
      <c r="E26" s="5" t="inlineStr">
        <is>
          <t>42/52</t>
        </is>
      </c>
      <c r="F26" s="5" t="inlineStr">
        <is>
          <t>Regression detected: isolation bypass (NC-2026-001)</t>
        </is>
      </c>
      <c r="G26" s="5" t="inlineStr">
        <is>
          <t>eval/reports/eval_20260806-142233.json</t>
        </is>
      </c>
    </row>
    <row r="27">
      <c r="A27" s="5" t="inlineStr">
        <is>
          <t>2026-08-06 14:32</t>
        </is>
      </c>
      <c r="B27" s="5" t="inlineStr">
        <is>
          <t>v1.3.0</t>
        </is>
      </c>
      <c r="C27" s="5" t="inlineStr">
        <is>
          <t>NFR-Q05</t>
        </is>
      </c>
      <c r="D27" s="5" t="inlineStr">
        <is>
          <t>Golden suite</t>
        </is>
      </c>
      <c r="E27" s="5" t="inlineStr">
        <is>
          <t>49/52</t>
        </is>
      </c>
      <c r="F27" s="5" t="inlineStr">
        <is>
          <t>After fix 4e27109</t>
        </is>
      </c>
      <c r="G27" s="5" t="inlineStr">
        <is>
          <t>eval/reports/eval_20260806-143249.json</t>
        </is>
      </c>
    </row>
    <row r="28">
      <c r="A28" s="5" t="inlineStr">
        <is>
          <t>2026-08-07</t>
        </is>
      </c>
      <c r="B28" s="5" t="inlineStr">
        <is>
          <t>v1.3.0</t>
        </is>
      </c>
      <c r="C28" s="5" t="inlineStr">
        <is>
          <t>NFR-P01</t>
        </is>
      </c>
      <c r="D28" s="5" t="inlineStr">
        <is>
          <t>Paper harness E1</t>
        </is>
      </c>
      <c r="E28" s="5" t="inlineStr">
        <is>
          <t>median 3.31 s; p95 15.17 s (n=30)</t>
        </is>
      </c>
      <c r="F28" s="9" t="inlineStr">
        <is>
          <t>Meets</t>
        </is>
      </c>
      <c r="G28" s="5" t="inlineStr">
        <is>
          <t>eval/paper/results/e1_latency.json</t>
        </is>
      </c>
    </row>
    <row r="29">
      <c r="A29" s="5" t="inlineStr">
        <is>
          <t>2026-08-07</t>
        </is>
      </c>
      <c r="B29" s="5" t="inlineStr">
        <is>
          <t>v1.3.0</t>
        </is>
      </c>
      <c r="C29" s="5" t="inlineStr">
        <is>
          <t>NFR-P02 / P03</t>
        </is>
      </c>
      <c r="D29" s="5" t="inlineStr">
        <is>
          <t>Paper harness E1</t>
        </is>
      </c>
      <c r="E29" s="5" t="inlineStr">
        <is>
          <t>Retrieval 2.8 % of latency; filter 0.08 ms</t>
        </is>
      </c>
      <c r="F29" s="9" t="inlineStr">
        <is>
          <t>Meets</t>
        </is>
      </c>
      <c r="G29" s="5" t="inlineStr">
        <is>
          <t>eval/paper/results</t>
        </is>
      </c>
    </row>
    <row r="30">
      <c r="A30" s="5" t="inlineStr">
        <is>
          <t>2026-08-07</t>
        </is>
      </c>
      <c r="B30" s="5" t="inlineStr">
        <is>
          <t>v1.3.0</t>
        </is>
      </c>
      <c r="C30" s="5" t="inlineStr">
        <is>
          <t>NFR-P04</t>
        </is>
      </c>
      <c r="D30" s="5" t="inlineStr">
        <is>
          <t>Paper harness E4</t>
        </is>
      </c>
      <c r="E30" s="5" t="inlineStr">
        <is>
          <t>First audible reply median 636 ms; p95 894 ms (n=10) vs 866 ms single loop</t>
        </is>
      </c>
      <c r="F30" s="9" t="inlineStr">
        <is>
          <t>Meets</t>
        </is>
      </c>
      <c r="G30" s="5" t="inlineStr">
        <is>
          <t>eval/paper/results</t>
        </is>
      </c>
    </row>
    <row r="31">
      <c r="A31" s="5" t="inlineStr">
        <is>
          <t>2026-08-07</t>
        </is>
      </c>
      <c r="B31" s="5" t="inlineStr">
        <is>
          <t>v1.3.0</t>
        </is>
      </c>
      <c r="C31" s="5" t="inlineStr">
        <is>
          <t>NFR-P07</t>
        </is>
      </c>
      <c r="D31" s="5" t="inlineStr">
        <is>
          <t>Paper harness E7</t>
        </is>
      </c>
      <c r="E31" s="5" t="inlineStr">
        <is>
          <t>Barge-in stop median 2.13 s; success 1.00 (n=8)</t>
        </is>
      </c>
      <c r="F31" s="11" t="inlineStr">
        <is>
          <t>Does not meet</t>
        </is>
      </c>
      <c r="G31" s="5" t="inlineStr">
        <is>
          <t>eval/paper/results</t>
        </is>
      </c>
    </row>
    <row r="32">
      <c r="A32" s="5" t="inlineStr">
        <is>
          <t>2026-08-07</t>
        </is>
      </c>
      <c r="B32" s="5" t="inlineStr">
        <is>
          <t>v1.3.0</t>
        </is>
      </c>
      <c r="C32" s="5" t="inlineStr">
        <is>
          <t>NFR-Q01…Q04</t>
        </is>
      </c>
      <c r="D32" s="5" t="inlineStr">
        <is>
          <t>Paper harness E2/E3/E5</t>
        </is>
      </c>
      <c r="E32" s="5" t="inlineStr">
        <is>
          <t>Citation precision 0.979; recall 0.826; fact support 0.815; abstention 0.783</t>
        </is>
      </c>
      <c r="F32" s="10" t="inlineStr">
        <is>
          <t>Partial</t>
        </is>
      </c>
      <c r="G32" s="5" t="inlineStr">
        <is>
          <t>eval/paper/results/SUMMARY.json</t>
        </is>
      </c>
    </row>
    <row r="33">
      <c r="A33" s="5" t="inlineStr">
        <is>
          <t>2026-08-07</t>
        </is>
      </c>
      <c r="B33" s="5" t="inlineStr">
        <is>
          <t>v1.3.0</t>
        </is>
      </c>
      <c r="C33" s="5" t="inlineStr">
        <is>
          <t>NFR-S01 / S02 / S03</t>
        </is>
      </c>
      <c r="D33" s="5" t="inlineStr">
        <is>
          <t>Paper harness E6/E8</t>
        </is>
      </c>
      <c r="E33" s="5" t="inlineStr">
        <is>
          <t>0/50 leaks; 0/359 out-of-namespace; injection 10.2 % → 5.1 %</t>
        </is>
      </c>
      <c r="F33" s="9" t="inlineStr">
        <is>
          <t>Meets / at boundary</t>
        </is>
      </c>
      <c r="G33" s="5" t="inlineStr">
        <is>
          <t>eval/paper/results</t>
        </is>
      </c>
    </row>
    <row r="34">
      <c r="A34" s="5" t="inlineStr">
        <is>
          <t>2026-09-21</t>
        </is>
      </c>
      <c r="B34" s="5" t="inlineStr">
        <is>
          <t>v1.4.0</t>
        </is>
      </c>
      <c r="C34" s="5" t="inlineStr">
        <is>
          <t>NFR-P05 / P06</t>
        </is>
      </c>
      <c r="D34" s="5" t="inlineStr">
        <is>
          <t>12 spoken turns, 2 personas</t>
        </is>
      </c>
      <c r="E34" s="5" t="inlineStr">
        <is>
          <t>First reply 0.14–0.49 s on GPU; final STT 70–130 ms</t>
        </is>
      </c>
      <c r="F34" s="9" t="inlineStr">
        <is>
          <t>Meets</t>
        </is>
      </c>
      <c r="G34" s="5" t="inlineStr">
        <is>
          <t>commit ff29843</t>
        </is>
      </c>
    </row>
    <row r="35">
      <c r="A35" s="5" t="inlineStr">
        <is>
          <t>2026-09-22</t>
        </is>
      </c>
      <c r="B35" s="5" t="inlineStr">
        <is>
          <t>v1.4.0</t>
        </is>
      </c>
      <c r="C35" s="5" t="inlineStr">
        <is>
          <t>NFR-R04</t>
        </is>
      </c>
      <c r="D35" s="5" t="inlineStr">
        <is>
          <t>Restore test</t>
        </is>
      </c>
      <c r="E35" s="5" t="inlineStr">
        <is>
          <t>Restore into a throwaway volume: integrity_check ok, 32 tables</t>
        </is>
      </c>
      <c r="F35" s="9" t="inlineStr">
        <is>
          <t>Meets</t>
        </is>
      </c>
      <c r="G35" s="5" t="inlineStr">
        <is>
          <t>backup_checksum_20260922.sha256</t>
        </is>
      </c>
    </row>
    <row r="36">
      <c r="A36" s="5" t="inlineStr">
        <is>
          <t>2026-09-22 13:53</t>
        </is>
      </c>
      <c r="B36" s="5" t="inlineStr">
        <is>
          <t>v1.4.0</t>
        </is>
      </c>
      <c r="C36" s="5" t="inlineStr">
        <is>
          <t>NFR-Q05</t>
        </is>
      </c>
      <c r="D36" s="5" t="inlineStr">
        <is>
          <t>Golden suite</t>
        </is>
      </c>
      <c r="E36" s="5" t="inlineStr">
        <is>
          <t>9/52</t>
        </is>
      </c>
      <c r="F36" s="5" t="inlineStr">
        <is>
          <t>Corpus absent (NC-2026-008) — blocked</t>
        </is>
      </c>
      <c r="G36" s="5" t="inlineStr">
        <is>
          <t>eval/reports/eval_20260922-135322.json</t>
        </is>
      </c>
    </row>
    <row r="37">
      <c r="A37" s="5" t="inlineStr">
        <is>
          <t>2026-10-06</t>
        </is>
      </c>
      <c r="B37" s="5" t="inlineStr">
        <is>
          <t>v1.4.1</t>
        </is>
      </c>
      <c r="C37" s="5" t="inlineStr">
        <is>
          <t>NFR-Q06, S06–S08, M02</t>
        </is>
      </c>
      <c r="D37" s="5" t="inlineStr">
        <is>
          <t>Acceptance suite run 1</t>
        </is>
      </c>
      <c r="E37" s="5" t="inlineStr">
        <is>
          <t>4 failures (logout, upload type, small talk, export key formats)</t>
        </is>
      </c>
      <c r="F37" s="11" t="inlineStr">
        <is>
          <t>Fail</t>
        </is>
      </c>
      <c r="G37" s="5" t="inlineStr">
        <is>
          <t>15_Testing/Execution_Records/run1</t>
        </is>
      </c>
    </row>
    <row r="38">
      <c r="A38" s="5" t="inlineStr">
        <is>
          <t>2026-10-06</t>
        </is>
      </c>
      <c r="B38" s="5" t="inlineStr">
        <is>
          <t>v1.4.1</t>
        </is>
      </c>
      <c r="C38" s="5" t="inlineStr">
        <is>
          <t>NFR-Q06, S06–S08, M02</t>
        </is>
      </c>
      <c r="D38" s="5" t="inlineStr">
        <is>
          <t>Acceptance suite run 4 (after fixes)</t>
        </is>
      </c>
      <c r="E38" s="5" t="inlineStr">
        <is>
          <t>11/11 executable cases pass</t>
        </is>
      </c>
      <c r="F38" s="9" t="inlineStr">
        <is>
          <t>Pass</t>
        </is>
      </c>
      <c r="G38" s="5" t="inlineStr">
        <is>
          <t>15_Testing/Execution_Records/run4</t>
        </is>
      </c>
    </row>
    <row r="39">
      <c r="A39" s="5" t="inlineStr">
        <is>
          <t>2026-10-06</t>
        </is>
      </c>
      <c r="B39" s="5" t="inlineStr">
        <is>
          <t>v1.4.1</t>
        </is>
      </c>
      <c r="C39" s="5" t="inlineStr">
        <is>
          <t>NFR-R03</t>
        </is>
      </c>
      <c r="D39" s="5" t="inlineStr">
        <is>
          <t>Container configuration</t>
        </is>
      </c>
      <c r="E39" s="5" t="inlineStr">
        <is>
          <t>Log rotation 50 MB × 5 on all six containers</t>
        </is>
      </c>
      <c r="F39" s="9" t="inlineStr">
        <is>
          <t>Meets</t>
        </is>
      </c>
      <c r="G39" s="5" t="inlineStr">
        <is>
          <t>docker inspect</t>
        </is>
      </c>
    </row>
    <row r="40">
      <c r="A40" s="5" t="inlineStr">
        <is>
          <t>2026-10-07</t>
        </is>
      </c>
      <c r="B40" s="5" t="inlineStr">
        <is>
          <t>v1.4.1</t>
        </is>
      </c>
      <c r="C40" s="5" t="inlineStr">
        <is>
          <t>NFR-M01, S04</t>
        </is>
      </c>
      <c r="D40" s="5" t="inlineStr">
        <is>
          <t>CI</t>
        </is>
      </c>
      <c r="E40" s="5" t="inlineStr">
        <is>
          <t>Backend 50, voice 131 tests, type-check 0 errors; proven red on a broken test</t>
        </is>
      </c>
      <c r="F40" s="9" t="inlineStr">
        <is>
          <t>Meets</t>
        </is>
      </c>
      <c r="G40" s="5" t="inlineStr">
        <is>
          <t>GitHub Actions CI</t>
        </is>
      </c>
    </row>
    <row r="41">
      <c r="A41" s="5" t="inlineStr">
        <is>
          <t>2026-10-07</t>
        </is>
      </c>
      <c r="B41" s="5" t="inlineStr">
        <is>
          <t>v1.4.1</t>
        </is>
      </c>
      <c r="C41" s="5" t="inlineStr">
        <is>
          <t>NFR-S05</t>
        </is>
      </c>
      <c r="D41" s="5" t="inlineStr">
        <is>
          <t>External login check</t>
        </is>
      </c>
      <c r="E41" s="5" t="inlineStr">
        <is>
          <t>Unauthenticated API → 401 from GitHub's network, every 6 h</t>
        </is>
      </c>
      <c r="F41" s="9" t="inlineStr">
        <is>
          <t>Meets</t>
        </is>
      </c>
      <c r="G41" s="5" t="inlineStr">
        <is>
          <t>public-gate-check workflow</t>
        </is>
      </c>
    </row>
    <row r="42">
      <c r="A42" s="5" t="inlineStr">
        <is>
          <t>2026-10-07</t>
        </is>
      </c>
      <c r="B42" s="5" t="inlineStr">
        <is>
          <t>v1.4.1</t>
        </is>
      </c>
      <c r="C42" s="5" t="inlineStr">
        <is>
          <t>NFR-R01</t>
        </is>
      </c>
      <c r="D42" s="5" t="inlineStr">
        <is>
          <t>Health checks</t>
        </is>
      </c>
      <c r="E42" s="5" t="inlineStr">
        <is>
          <t>Ollama check makes a real embedding; 4 of 6 services checked</t>
        </is>
      </c>
      <c r="F42" s="10" t="inlineStr">
        <is>
          <t>Partial</t>
        </is>
      </c>
      <c r="G42" s="5" t="inlineStr">
        <is>
          <t>docker-compose.yml</t>
        </is>
      </c>
    </row>
  </sheetData>
  <autoFilter ref="A4:G42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34" customWidth="1" min="3" max="3"/>
    <col width="40" customWidth="1" min="4" max="4"/>
    <col width="26" customWidth="1" min="5" max="5"/>
  </cols>
  <sheetData>
    <row r="1">
      <c r="A1" s="6" t="inlineStr">
        <is>
          <t>Monitoring plan</t>
        </is>
      </c>
    </row>
    <row r="4">
      <c r="A4" s="8" t="inlineStr">
        <is>
          <t>Monitor</t>
        </is>
      </c>
      <c r="B4" s="8" t="inlineStr">
        <is>
          <t>NFRs covered</t>
        </is>
      </c>
      <c r="C4" s="8" t="inlineStr">
        <is>
          <t>Frequency</t>
        </is>
      </c>
      <c r="D4" s="8" t="inlineStr">
        <is>
          <t>Mechanism</t>
        </is>
      </c>
      <c r="E4" s="8" t="inlineStr">
        <is>
          <t>In place</t>
        </is>
      </c>
    </row>
    <row r="5">
      <c r="A5" s="5" t="inlineStr">
        <is>
          <t>Unit and type checks</t>
        </is>
      </c>
      <c r="B5" s="5" t="inlineStr">
        <is>
          <t>NFR-S04, NFR-M01</t>
        </is>
      </c>
      <c r="C5" s="5" t="inlineStr">
        <is>
          <t>Every push and pull request</t>
        </is>
      </c>
      <c r="D5" s="5" t="inlineStr">
        <is>
          <t>GitHub Actions CI</t>
        </is>
      </c>
      <c r="E5" s="5" t="inlineStr">
        <is>
          <t>Since 2026-10-07</t>
        </is>
      </c>
    </row>
    <row r="6">
      <c r="A6" s="5" t="inlineStr">
        <is>
          <t>Acceptance suite (13 test cases)</t>
        </is>
      </c>
      <c r="B6" s="5" t="inlineStr">
        <is>
          <t>NFR-Q06, S05–S08, M02</t>
        </is>
      </c>
      <c r="C6" s="5" t="inlineStr">
        <is>
          <t>Every release; after every defect fix</t>
        </is>
      </c>
      <c r="D6" s="5" t="inlineStr">
        <is>
          <t>run_tests.py — runs 1–4 on 2026-10-06</t>
        </is>
      </c>
      <c r="E6" s="5" t="inlineStr">
        <is>
          <t>Since 2026-10-06</t>
        </is>
      </c>
    </row>
    <row r="7">
      <c r="A7" s="5" t="inlineStr">
        <is>
          <t>Golden evaluation (52 questions)</t>
        </is>
      </c>
      <c r="B7" s="5" t="inlineStr">
        <is>
          <t>NFR-Q05</t>
        </is>
      </c>
      <c r="C7" s="5" t="inlineStr">
        <is>
          <t>Every release</t>
        </is>
      </c>
      <c r="D7" s="5" t="inlineStr">
        <is>
          <t>eval/run_eval.py (aborts if the corpus is missing)</t>
        </is>
      </c>
      <c r="E7" s="5" t="inlineStr">
        <is>
          <t>Since 2026-07-29; blocked since 2026-09-15</t>
        </is>
      </c>
    </row>
    <row r="8">
      <c r="A8" s="5" t="inlineStr">
        <is>
          <t>Research harness E1–E10</t>
        </is>
      </c>
      <c r="B8" s="5" t="inlineStr">
        <is>
          <t>NFR-P01–P04, P07, Q01–Q04, S01–S03</t>
        </is>
      </c>
      <c r="C8" s="5" t="inlineStr">
        <is>
          <t>Per study / major change</t>
        </is>
      </c>
      <c r="D8" s="5" t="inlineStr">
        <is>
          <t>eval/paper/</t>
        </is>
      </c>
      <c r="E8" s="5" t="inlineStr">
        <is>
          <t>2026-08-07</t>
        </is>
      </c>
    </row>
    <row r="9">
      <c r="A9" s="5" t="inlineStr">
        <is>
          <t>External login gate check</t>
        </is>
      </c>
      <c r="B9" s="5" t="inlineStr">
        <is>
          <t>NFR-S05</t>
        </is>
      </c>
      <c r="C9" s="5" t="inlineStr">
        <is>
          <t>Every 6 hours</t>
        </is>
      </c>
      <c r="D9" s="5" t="inlineStr">
        <is>
          <t>public-gate-check workflow</t>
        </is>
      </c>
      <c r="E9" s="5" t="inlineStr">
        <is>
          <t>Since 2026-10-07</t>
        </is>
      </c>
    </row>
    <row r="10">
      <c r="A10" s="5" t="inlineStr">
        <is>
          <t>Container health checks</t>
        </is>
      </c>
      <c r="B10" s="5" t="inlineStr">
        <is>
          <t>NFR-R01, R02</t>
        </is>
      </c>
      <c r="C10" s="5" t="inlineStr">
        <is>
          <t>Every 15–30 s</t>
        </is>
      </c>
      <c r="D10" s="5" t="inlineStr">
        <is>
          <t>docker-compose healthchecks</t>
        </is>
      </c>
      <c r="E10" s="5" t="inlineStr">
        <is>
          <t>Continuous</t>
        </is>
      </c>
    </row>
    <row r="11">
      <c r="A11" s="5" t="inlineStr">
        <is>
          <t>Runtime-settings drift check</t>
        </is>
      </c>
      <c r="B11" s="5" t="inlineStr">
        <is>
          <t>NFR-S05, D01</t>
        </is>
      </c>
      <c r="C11" s="5" t="inlineStr">
        <is>
          <t>Before and after any configuration change</t>
        </is>
      </c>
      <c r="D11" s="5" t="inlineStr">
        <is>
          <t>scripts/check_runtime_config.sh</t>
        </is>
      </c>
      <c r="E11" s="5" t="inlineStr">
        <is>
          <t>Since 2026-10-07</t>
        </is>
      </c>
    </row>
    <row r="12">
      <c r="A12" s="5" t="inlineStr">
        <is>
          <t>Register review</t>
        </is>
      </c>
      <c r="B12" s="5" t="inlineStr">
        <is>
          <t>All</t>
        </is>
      </c>
      <c r="C12" s="5" t="inlineStr">
        <is>
          <t>Each release and each management review</t>
        </is>
      </c>
      <c r="D12" s="5" t="inlineStr">
        <is>
          <t>This document / REG-09</t>
        </is>
      </c>
      <c r="E12" s="5" t="inlineStr">
        <is>
          <t>From 2026-10-07</t>
        </is>
      </c>
    </row>
  </sheetData>
  <autoFilter ref="A4:E12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22" customWidth="1" min="4" max="4"/>
  </cols>
  <sheetData>
    <row r="1">
      <c r="A1" s="6" t="inlineStr">
        <is>
          <t>Summary — live formulas</t>
        </is>
      </c>
    </row>
    <row r="4">
      <c r="A4" s="8" t="inlineStr">
        <is>
          <t>Category</t>
        </is>
      </c>
      <c r="B4" s="8" t="inlineStr">
        <is>
          <t>NFRs</t>
        </is>
      </c>
      <c r="C4" s="8" t="inlineStr">
        <is>
          <t>Meeting target</t>
        </is>
      </c>
      <c r="D4" s="8" t="inlineStr">
        <is>
          <t>Not yet (action open)</t>
        </is>
      </c>
    </row>
    <row r="5">
      <c r="A5" s="5" t="inlineStr">
        <is>
          <t>Performance</t>
        </is>
      </c>
      <c r="B5" s="5">
        <f>COUNTIF('NFR register'!$B:$B,A5)</f>
        <v/>
      </c>
      <c r="C5" s="5">
        <f>COUNTIFS('NFR register'!$B:$B,A5,'NFR register'!$K:$K,"Meets*")</f>
        <v/>
      </c>
      <c r="D5" s="5">
        <f>B5-C5</f>
        <v/>
      </c>
    </row>
    <row r="6">
      <c r="A6" s="5" t="inlineStr">
        <is>
          <t>Accuracy</t>
        </is>
      </c>
      <c r="B6" s="5">
        <f>COUNTIF('NFR register'!$B:$B,A6)</f>
        <v/>
      </c>
      <c r="C6" s="5">
        <f>COUNTIFS('NFR register'!$B:$B,A6,'NFR register'!$K:$K,"Meets*")</f>
        <v/>
      </c>
      <c r="D6" s="5">
        <f>B6-C6</f>
        <v/>
      </c>
    </row>
    <row r="7">
      <c r="A7" s="5" t="inlineStr">
        <is>
          <t>Security</t>
        </is>
      </c>
      <c r="B7" s="5">
        <f>COUNTIF('NFR register'!$B:$B,A7)</f>
        <v/>
      </c>
      <c r="C7" s="5">
        <f>COUNTIFS('NFR register'!$B:$B,A7,'NFR register'!$K:$K,"Meets*")</f>
        <v/>
      </c>
      <c r="D7" s="5">
        <f>B7-C7</f>
        <v/>
      </c>
    </row>
    <row r="8">
      <c r="A8" s="5" t="inlineStr">
        <is>
          <t>Reliability</t>
        </is>
      </c>
      <c r="B8" s="5">
        <f>COUNTIF('NFR register'!$B:$B,A8)</f>
        <v/>
      </c>
      <c r="C8" s="5">
        <f>COUNTIFS('NFR register'!$B:$B,A8,'NFR register'!$K:$K,"Meets*")</f>
        <v/>
      </c>
      <c r="D8" s="5">
        <f>B8-C8</f>
        <v/>
      </c>
    </row>
    <row r="9">
      <c r="A9" s="5" t="inlineStr">
        <is>
          <t>Maintainability</t>
        </is>
      </c>
      <c r="B9" s="5">
        <f>COUNTIF('NFR register'!$B:$B,A9)</f>
        <v/>
      </c>
      <c r="C9" s="5">
        <f>COUNTIFS('NFR register'!$B:$B,A9,'NFR register'!$K:$K,"Meets*")</f>
        <v/>
      </c>
      <c r="D9" s="5">
        <f>B9-C9</f>
        <v/>
      </c>
    </row>
    <row r="10">
      <c r="A10" s="5" t="inlineStr">
        <is>
          <t>Data protection</t>
        </is>
      </c>
      <c r="B10" s="5">
        <f>COUNTIF('NFR register'!$B:$B,A10)</f>
        <v/>
      </c>
      <c r="C10" s="5">
        <f>COUNTIFS('NFR register'!$B:$B,A10,'NFR register'!$K:$K,"Meets*")</f>
        <v/>
      </c>
      <c r="D10" s="5">
        <f>B10-C10</f>
        <v/>
      </c>
    </row>
    <row r="11">
      <c r="A11" s="5" t="inlineStr">
        <is>
          <t>Total</t>
        </is>
      </c>
      <c r="B11" s="5">
        <f>SUM(B5:B10)</f>
        <v/>
      </c>
      <c r="C11" s="5">
        <f>SUM(C5:C10)</f>
        <v/>
      </c>
      <c r="D11" s="5">
        <f>SUM(D5:D10)</f>
        <v/>
      </c>
    </row>
  </sheetData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2026-10-13T00:25:39Z</dcterms:created>
  <dcterms:modified xmlns:dcterms="http://purl.org/dc/terms/" xmlns:xsi="http://www.w3.org/2001/XMLSchema-instance" xsi:type="dcterms:W3CDTF">2026-10-13T00:25:39Z</dcterms:modified>
</cp:coreProperties>
</file>