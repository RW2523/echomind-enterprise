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s" sheetId="1" state="visible" r:id="rId1"/>
    <sheet xmlns:r="http://schemas.openxmlformats.org/officeDocument/2006/relationships" name="By version" sheetId="2" state="visible" r:id="rId2"/>
    <sheet xmlns:r="http://schemas.openxmlformats.org/officeDocument/2006/relationships" name="Document control" sheetId="3" state="visible" r:id="rId3"/>
  </sheets>
  <definedNames>
    <definedName name="_xlnm._FilterDatabase" localSheetId="0" hidden="1">'Test executions'!$A$4:$H$42</definedName>
    <definedName name="_xlnm._FilterDatabase" localSheetId="1" hidden="1">'By version'!$A$4:$D$10</definedName>
    <definedName name="_xlnm._FilterDatabase" localSheetId="2" hidden="1">'Document control'!$A$4:$B$15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  <sz val="9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4E8"/>
      </patternFill>
    </fill>
    <fill>
      <patternFill patternType="solid">
        <fgColor rgb="00FFF4D6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60" customWidth="1" min="4" max="4"/>
    <col width="26" customWidth="1" min="5" max="5"/>
    <col width="36" customWidth="1" min="6" max="6"/>
    <col width="22" customWidth="1" min="7" max="7"/>
    <col width="44" customWidth="1" min="8" max="8"/>
  </cols>
  <sheetData>
    <row r="1">
      <c r="A1" s="1" t="inlineStr">
        <is>
          <t>Test executions</t>
        </is>
      </c>
    </row>
    <row r="2">
      <c r="A2" s="2" t="inlineStr">
        <is>
          <t>EM26-34 Test Execution Register — every recorded test execution, Sep 2025 → Oct 2026 (38 runs). Issued 2026-10-14.</t>
        </is>
      </c>
    </row>
    <row r="4">
      <c r="A4" s="3" t="inlineStr">
        <is>
          <t>Date</t>
        </is>
      </c>
      <c r="B4" s="3" t="inlineStr">
        <is>
          <t>Version</t>
        </is>
      </c>
      <c r="C4" s="3" t="inlineStr">
        <is>
          <t>Level</t>
        </is>
      </c>
      <c r="D4" s="3" t="inlineStr">
        <is>
          <t>Test</t>
        </is>
      </c>
      <c r="E4" s="3" t="inlineStr">
        <is>
          <t>Executed by</t>
        </is>
      </c>
      <c r="F4" s="3" t="inlineStr">
        <is>
          <t>Result</t>
        </is>
      </c>
      <c r="G4" s="3" t="inlineStr">
        <is>
          <t>Defect / NC</t>
        </is>
      </c>
      <c r="H4" s="3" t="inlineStr">
        <is>
          <t>Evidence</t>
        </is>
      </c>
    </row>
    <row r="5">
      <c r="A5" s="4" t="inlineStr">
        <is>
          <t>2025-09</t>
        </is>
      </c>
      <c r="B5" s="4" t="inlineStr">
        <is>
          <t>2025 appliance</t>
        </is>
      </c>
      <c r="C5" s="4" t="inlineStr">
        <is>
          <t>Acceptance</t>
        </is>
      </c>
      <c r="D5" s="4" t="inlineStr">
        <is>
          <t>End-to-end test: transcription and contextual Q&amp;A on the delivered unit</t>
        </is>
      </c>
      <c r="E5" s="4" t="inlineStr">
        <is>
          <t>AJACE team</t>
        </is>
      </c>
      <c r="F5" s="5" t="inlineStr">
        <is>
          <t>Pass — accepted</t>
        </is>
      </c>
      <c r="G5" s="4" t="inlineStr">
        <is>
          <t>—</t>
        </is>
      </c>
      <c r="H5" s="4" t="inlineStr">
        <is>
          <t>Project documentation (controlled copy)</t>
        </is>
      </c>
    </row>
    <row r="6">
      <c r="A6" s="4" t="inlineStr">
        <is>
          <t>2025-09-05</t>
        </is>
      </c>
      <c r="B6" s="4" t="inlineStr">
        <is>
          <t>2025 appliance</t>
        </is>
      </c>
      <c r="C6" s="4" t="inlineStr">
        <is>
          <t>Regression</t>
        </is>
      </c>
      <c r="D6" s="4" t="inlineStr">
        <is>
          <t>Regression after QA-FAIL-01 (REG-2025-01)</t>
        </is>
      </c>
      <c r="E6" s="4" t="inlineStr">
        <is>
          <t>AJACE QA</t>
        </is>
      </c>
      <c r="F6" s="5" t="inlineStr">
        <is>
          <t>Pass — defect resolved</t>
        </is>
      </c>
      <c r="G6" s="4" t="inlineStr">
        <is>
          <t>DEF-2025-01</t>
        </is>
      </c>
      <c r="H6" s="4" t="inlineStr">
        <is>
          <t>2025 records (controlled copy)</t>
        </is>
      </c>
    </row>
    <row r="7">
      <c r="A7" s="4" t="inlineStr">
        <is>
          <t>2026-07-29 12:39</t>
        </is>
      </c>
      <c r="B7" s="4" t="inlineStr">
        <is>
          <t>v1.3.0</t>
        </is>
      </c>
      <c r="C7" s="4" t="inlineStr">
        <is>
          <t>Golden suite</t>
        </is>
      </c>
      <c r="D7" s="4" t="inlineStr">
        <is>
          <t>Golden questions (banking, conversation, DoD FMR, health, law, meetings, retail)</t>
        </is>
      </c>
      <c r="E7" s="4" t="inlineStr">
        <is>
          <t>Richard Watson Stephen Amudha</t>
        </is>
      </c>
      <c r="F7" s="6" t="inlineStr">
        <is>
          <t>29/52</t>
        </is>
      </c>
      <c r="G7" s="4" t="inlineStr">
        <is>
          <t>—</t>
        </is>
      </c>
      <c r="H7" s="4" t="inlineStr">
        <is>
          <t>eval/reports/eval_20260729-123923.json</t>
        </is>
      </c>
    </row>
    <row r="8">
      <c r="A8" s="4" t="inlineStr">
        <is>
          <t>2026-07-29 12:48</t>
        </is>
      </c>
      <c r="B8" s="4" t="inlineStr">
        <is>
          <t>v1.3.0</t>
        </is>
      </c>
      <c r="C8" s="4" t="inlineStr">
        <is>
          <t>Golden suite</t>
        </is>
      </c>
      <c r="D8" s="4" t="inlineStr">
        <is>
          <t>Golden questions (banking, conversation, DoD FMR, health, law, meetings, retail)</t>
        </is>
      </c>
      <c r="E8" s="4" t="inlineStr">
        <is>
          <t>Richard Watson Stephen Amudha</t>
        </is>
      </c>
      <c r="F8" s="6" t="inlineStr">
        <is>
          <t>27/52</t>
        </is>
      </c>
      <c r="G8" s="4" t="inlineStr">
        <is>
          <t>—</t>
        </is>
      </c>
      <c r="H8" s="4" t="inlineStr">
        <is>
          <t>eval/reports/eval_20260729-124803.json</t>
        </is>
      </c>
    </row>
    <row r="9">
      <c r="A9" s="4" t="inlineStr">
        <is>
          <t>2026-07-29 13:00</t>
        </is>
      </c>
      <c r="B9" s="4" t="inlineStr">
        <is>
          <t>v1.3.0</t>
        </is>
      </c>
      <c r="C9" s="4" t="inlineStr">
        <is>
          <t>Golden suite</t>
        </is>
      </c>
      <c r="D9" s="4" t="inlineStr">
        <is>
          <t>Golden questions (banking, conversation, DoD FMR, health, law, meetings, retail)</t>
        </is>
      </c>
      <c r="E9" s="4" t="inlineStr">
        <is>
          <t>Richard Watson Stephen Amudha</t>
        </is>
      </c>
      <c r="F9" s="6" t="inlineStr">
        <is>
          <t>44/52</t>
        </is>
      </c>
      <c r="G9" s="4" t="inlineStr">
        <is>
          <t>—</t>
        </is>
      </c>
      <c r="H9" s="4" t="inlineStr">
        <is>
          <t>eval/reports/eval_20260729-130027.json</t>
        </is>
      </c>
    </row>
    <row r="10">
      <c r="A10" s="4" t="inlineStr">
        <is>
          <t>2026-07-29 13:09</t>
        </is>
      </c>
      <c r="B10" s="4" t="inlineStr">
        <is>
          <t>v1.3.0</t>
        </is>
      </c>
      <c r="C10" s="4" t="inlineStr">
        <is>
          <t>Golden suite</t>
        </is>
      </c>
      <c r="D10" s="4" t="inlineStr">
        <is>
          <t>Golden questions (banking, conversation, DoD FMR, health, law, meetings, retail)</t>
        </is>
      </c>
      <c r="E10" s="4" t="inlineStr">
        <is>
          <t>Richard Watson Stephen Amudha</t>
        </is>
      </c>
      <c r="F10" s="6" t="inlineStr">
        <is>
          <t>47/52</t>
        </is>
      </c>
      <c r="G10" s="4" t="inlineStr">
        <is>
          <t>—</t>
        </is>
      </c>
      <c r="H10" s="4" t="inlineStr">
        <is>
          <t>eval/reports/eval_20260729-130900.json</t>
        </is>
      </c>
    </row>
    <row r="11">
      <c r="A11" s="4" t="inlineStr">
        <is>
          <t>2026-07-29 13:18</t>
        </is>
      </c>
      <c r="B11" s="4" t="inlineStr">
        <is>
          <t>v1.3.0</t>
        </is>
      </c>
      <c r="C11" s="4" t="inlineStr">
        <is>
          <t>Golden suite</t>
        </is>
      </c>
      <c r="D11" s="4" t="inlineStr">
        <is>
          <t>Golden questions (banking, conversation, DoD FMR, health, law, meetings, retail)</t>
        </is>
      </c>
      <c r="E11" s="4" t="inlineStr">
        <is>
          <t>Richard Watson Stephen Amudha</t>
        </is>
      </c>
      <c r="F11" s="6" t="inlineStr">
        <is>
          <t>48/52</t>
        </is>
      </c>
      <c r="G11" s="4" t="inlineStr">
        <is>
          <t>—</t>
        </is>
      </c>
      <c r="H11" s="4" t="inlineStr">
        <is>
          <t>eval/reports/eval_20260729-131815.json</t>
        </is>
      </c>
    </row>
    <row r="12">
      <c r="A12" s="4" t="inlineStr">
        <is>
          <t>2026-07-29 13:45</t>
        </is>
      </c>
      <c r="B12" s="4" t="inlineStr">
        <is>
          <t>v1.3.0</t>
        </is>
      </c>
      <c r="C12" s="4" t="inlineStr">
        <is>
          <t>Golden suite</t>
        </is>
      </c>
      <c r="D12" s="4" t="inlineStr">
        <is>
          <t>Golden questions (banking, conversation, DoD FMR, health, law, meetings, retail)</t>
        </is>
      </c>
      <c r="E12" s="4" t="inlineStr">
        <is>
          <t>Richard Watson Stephen Amudha</t>
        </is>
      </c>
      <c r="F12" s="6" t="inlineStr">
        <is>
          <t>48/52</t>
        </is>
      </c>
      <c r="G12" s="4" t="inlineStr">
        <is>
          <t>—</t>
        </is>
      </c>
      <c r="H12" s="4" t="inlineStr">
        <is>
          <t>eval/reports/eval_20260729-134521.json</t>
        </is>
      </c>
    </row>
    <row r="13">
      <c r="A13" s="4" t="inlineStr">
        <is>
          <t>2026-07-29 18:45</t>
        </is>
      </c>
      <c r="B13" s="4" t="inlineStr">
        <is>
          <t>v1.3.0</t>
        </is>
      </c>
      <c r="C13" s="4" t="inlineStr">
        <is>
          <t>Golden suite</t>
        </is>
      </c>
      <c r="D13" s="4" t="inlineStr">
        <is>
          <t>Golden questions (banking, conversation, DoD FMR, health, law, meetings, retail)</t>
        </is>
      </c>
      <c r="E13" s="4" t="inlineStr">
        <is>
          <t>Richard Watson Stephen Amudha</t>
        </is>
      </c>
      <c r="F13" s="6" t="inlineStr">
        <is>
          <t>48/52</t>
        </is>
      </c>
      <c r="G13" s="4" t="inlineStr">
        <is>
          <t>—</t>
        </is>
      </c>
      <c r="H13" s="4" t="inlineStr">
        <is>
          <t>eval/reports/eval_20260729-184535.json</t>
        </is>
      </c>
    </row>
    <row r="14">
      <c r="A14" s="4" t="inlineStr">
        <is>
          <t>2026-07-29 18:54</t>
        </is>
      </c>
      <c r="B14" s="4" t="inlineStr">
        <is>
          <t>v1.3.0</t>
        </is>
      </c>
      <c r="C14" s="4" t="inlineStr">
        <is>
          <t>Golden suite</t>
        </is>
      </c>
      <c r="D14" s="4" t="inlineStr">
        <is>
          <t>Golden questions (banking, conversation, DoD FMR, health, law, meetings, retail)</t>
        </is>
      </c>
      <c r="E14" s="4" t="inlineStr">
        <is>
          <t>Richard Watson Stephen Amudha</t>
        </is>
      </c>
      <c r="F14" s="6" t="inlineStr">
        <is>
          <t>47/52</t>
        </is>
      </c>
      <c r="G14" s="4" t="inlineStr">
        <is>
          <t>—</t>
        </is>
      </c>
      <c r="H14" s="4" t="inlineStr">
        <is>
          <t>eval/reports/eval_20260729-185435.json</t>
        </is>
      </c>
    </row>
    <row r="15">
      <c r="A15" s="4" t="inlineStr">
        <is>
          <t>2026-07-29 19:51</t>
        </is>
      </c>
      <c r="B15" s="4" t="inlineStr">
        <is>
          <t>v1.3.0</t>
        </is>
      </c>
      <c r="C15" s="4" t="inlineStr">
        <is>
          <t>Golden suite</t>
        </is>
      </c>
      <c r="D15" s="4" t="inlineStr">
        <is>
          <t>Golden questions (banking, conversation, DoD FMR, health, law, meetings, retail)</t>
        </is>
      </c>
      <c r="E15" s="4" t="inlineStr">
        <is>
          <t>Richard Watson Stephen Amudha</t>
        </is>
      </c>
      <c r="F15" s="6" t="inlineStr">
        <is>
          <t>43/52</t>
        </is>
      </c>
      <c r="G15" s="4" t="inlineStr">
        <is>
          <t>—</t>
        </is>
      </c>
      <c r="H15" s="4" t="inlineStr">
        <is>
          <t>eval/reports/eval_20260729-195109.json</t>
        </is>
      </c>
    </row>
    <row r="16">
      <c r="A16" s="4" t="inlineStr">
        <is>
          <t>2026-07-29 19:59</t>
        </is>
      </c>
      <c r="B16" s="4" t="inlineStr">
        <is>
          <t>v1.3.0</t>
        </is>
      </c>
      <c r="C16" s="4" t="inlineStr">
        <is>
          <t>Golden suite</t>
        </is>
      </c>
      <c r="D16" s="4" t="inlineStr">
        <is>
          <t>Golden questions (banking, conversation, DoD FMR, health, law, meetings, retail)</t>
        </is>
      </c>
      <c r="E16" s="4" t="inlineStr">
        <is>
          <t>Richard Watson Stephen Amudha</t>
        </is>
      </c>
      <c r="F16" s="6" t="inlineStr">
        <is>
          <t>0/7 — smoke subset</t>
        </is>
      </c>
      <c r="G16" s="4" t="inlineStr">
        <is>
          <t>—</t>
        </is>
      </c>
      <c r="H16" s="4" t="inlineStr">
        <is>
          <t>eval/reports/eval_20260729-195914.json</t>
        </is>
      </c>
    </row>
    <row r="17">
      <c r="A17" s="4" t="inlineStr">
        <is>
          <t>2026-07-29 20:03</t>
        </is>
      </c>
      <c r="B17" s="4" t="inlineStr">
        <is>
          <t>v1.3.0</t>
        </is>
      </c>
      <c r="C17" s="4" t="inlineStr">
        <is>
          <t>Golden suite</t>
        </is>
      </c>
      <c r="D17" s="4" t="inlineStr">
        <is>
          <t>Golden questions (banking, conversation, DoD FMR, health, law, meetings, retail)</t>
        </is>
      </c>
      <c r="E17" s="4" t="inlineStr">
        <is>
          <t>Richard Watson Stephen Amudha</t>
        </is>
      </c>
      <c r="F17" s="6" t="inlineStr">
        <is>
          <t>0/7 — smoke subset</t>
        </is>
      </c>
      <c r="G17" s="4" t="inlineStr">
        <is>
          <t>—</t>
        </is>
      </c>
      <c r="H17" s="4" t="inlineStr">
        <is>
          <t>eval/reports/eval_20260729-200328.json</t>
        </is>
      </c>
    </row>
    <row r="18">
      <c r="A18" s="4" t="inlineStr">
        <is>
          <t>2026-07-29 20:10</t>
        </is>
      </c>
      <c r="B18" s="4" t="inlineStr">
        <is>
          <t>v1.3.0</t>
        </is>
      </c>
      <c r="C18" s="4" t="inlineStr">
        <is>
          <t>Golden suite</t>
        </is>
      </c>
      <c r="D18" s="4" t="inlineStr">
        <is>
          <t>Golden questions (banking, conversation, DoD FMR, health, law, meetings, retail)</t>
        </is>
      </c>
      <c r="E18" s="4" t="inlineStr">
        <is>
          <t>Richard Watson Stephen Amudha</t>
        </is>
      </c>
      <c r="F18" s="6" t="inlineStr">
        <is>
          <t>48/52</t>
        </is>
      </c>
      <c r="G18" s="4" t="inlineStr">
        <is>
          <t>—</t>
        </is>
      </c>
      <c r="H18" s="4" t="inlineStr">
        <is>
          <t>eval/reports/eval_20260729-201050.json</t>
        </is>
      </c>
    </row>
    <row r="19">
      <c r="A19" s="4" t="inlineStr">
        <is>
          <t>2026-07-29 20:33</t>
        </is>
      </c>
      <c r="B19" s="4" t="inlineStr">
        <is>
          <t>v1.3.0</t>
        </is>
      </c>
      <c r="C19" s="4" t="inlineStr">
        <is>
          <t>Golden suite</t>
        </is>
      </c>
      <c r="D19" s="4" t="inlineStr">
        <is>
          <t>Golden questions (banking, conversation, DoD FMR, health, law, meetings, retail)</t>
        </is>
      </c>
      <c r="E19" s="4" t="inlineStr">
        <is>
          <t>Richard Watson Stephen Amudha</t>
        </is>
      </c>
      <c r="F19" s="6" t="inlineStr">
        <is>
          <t>48/52</t>
        </is>
      </c>
      <c r="G19" s="4" t="inlineStr">
        <is>
          <t>—</t>
        </is>
      </c>
      <c r="H19" s="4" t="inlineStr">
        <is>
          <t>eval/reports/eval_20260729-203340.json</t>
        </is>
      </c>
    </row>
    <row r="20">
      <c r="A20" s="4" t="inlineStr">
        <is>
          <t>2026-07-29 20:42</t>
        </is>
      </c>
      <c r="B20" s="4" t="inlineStr">
        <is>
          <t>v1.3.0</t>
        </is>
      </c>
      <c r="C20" s="4" t="inlineStr">
        <is>
          <t>Golden suite</t>
        </is>
      </c>
      <c r="D20" s="4" t="inlineStr">
        <is>
          <t>Golden questions (banking, conversation, DoD FMR, health, law, meetings, retail)</t>
        </is>
      </c>
      <c r="E20" s="4" t="inlineStr">
        <is>
          <t>Richard Watson Stephen Amudha</t>
        </is>
      </c>
      <c r="F20" s="6" t="inlineStr">
        <is>
          <t>49/52</t>
        </is>
      </c>
      <c r="G20" s="4" t="inlineStr">
        <is>
          <t>—</t>
        </is>
      </c>
      <c r="H20" s="4" t="inlineStr">
        <is>
          <t>eval/reports/eval_20260729-204248.json</t>
        </is>
      </c>
    </row>
    <row r="21">
      <c r="A21" s="4" t="inlineStr">
        <is>
          <t>2026-07-29 21:52</t>
        </is>
      </c>
      <c r="B21" s="4" t="inlineStr">
        <is>
          <t>v1.3.0</t>
        </is>
      </c>
      <c r="C21" s="4" t="inlineStr">
        <is>
          <t>Golden suite</t>
        </is>
      </c>
      <c r="D21" s="4" t="inlineStr">
        <is>
          <t>Golden questions (banking, conversation, DoD FMR, health, law, meetings, retail)</t>
        </is>
      </c>
      <c r="E21" s="4" t="inlineStr">
        <is>
          <t>Richard Watson Stephen Amudha</t>
        </is>
      </c>
      <c r="F21" s="6" t="inlineStr">
        <is>
          <t>48/52</t>
        </is>
      </c>
      <c r="G21" s="4" t="inlineStr">
        <is>
          <t>—</t>
        </is>
      </c>
      <c r="H21" s="4" t="inlineStr">
        <is>
          <t>eval/reports/eval_20260729-215246.json</t>
        </is>
      </c>
    </row>
    <row r="22">
      <c r="A22" s="4" t="inlineStr">
        <is>
          <t>2026-07-29 22:47</t>
        </is>
      </c>
      <c r="B22" s="4" t="inlineStr">
        <is>
          <t>v1.3.0</t>
        </is>
      </c>
      <c r="C22" s="4" t="inlineStr">
        <is>
          <t>Golden suite</t>
        </is>
      </c>
      <c r="D22" s="4" t="inlineStr">
        <is>
          <t>Golden questions (banking, conversation, DoD FMR, health, law, meetings, retail)</t>
        </is>
      </c>
      <c r="E22" s="4" t="inlineStr">
        <is>
          <t>Richard Watson Stephen Amudha</t>
        </is>
      </c>
      <c r="F22" s="6" t="inlineStr">
        <is>
          <t>46/52</t>
        </is>
      </c>
      <c r="G22" s="4" t="inlineStr">
        <is>
          <t>—</t>
        </is>
      </c>
      <c r="H22" s="4" t="inlineStr">
        <is>
          <t>eval/reports/eval_20260729-224713.json</t>
        </is>
      </c>
    </row>
    <row r="23">
      <c r="A23" s="4" t="inlineStr">
        <is>
          <t>2026-07-29 22:56</t>
        </is>
      </c>
      <c r="B23" s="4" t="inlineStr">
        <is>
          <t>v1.3.0</t>
        </is>
      </c>
      <c r="C23" s="4" t="inlineStr">
        <is>
          <t>Golden suite</t>
        </is>
      </c>
      <c r="D23" s="4" t="inlineStr">
        <is>
          <t>Golden questions (banking, conversation, DoD FMR, health, law, meetings, retail)</t>
        </is>
      </c>
      <c r="E23" s="4" t="inlineStr">
        <is>
          <t>Richard Watson Stephen Amudha</t>
        </is>
      </c>
      <c r="F23" s="6" t="inlineStr">
        <is>
          <t>48/52</t>
        </is>
      </c>
      <c r="G23" s="4" t="inlineStr">
        <is>
          <t>—</t>
        </is>
      </c>
      <c r="H23" s="4" t="inlineStr">
        <is>
          <t>eval/reports/eval_20260729-225633.json</t>
        </is>
      </c>
    </row>
    <row r="24">
      <c r="A24" s="4" t="inlineStr">
        <is>
          <t>2026-07-29 22:56</t>
        </is>
      </c>
      <c r="B24" s="4" t="inlineStr">
        <is>
          <t>v1.3.0</t>
        </is>
      </c>
      <c r="C24" s="4" t="inlineStr">
        <is>
          <t>Golden suite</t>
        </is>
      </c>
      <c r="D24" s="4" t="inlineStr">
        <is>
          <t>Golden questions (banking, conversation, DoD FMR, health, law, meetings, retail)</t>
        </is>
      </c>
      <c r="E24" s="4" t="inlineStr">
        <is>
          <t>Richard Watson Stephen Amudha</t>
        </is>
      </c>
      <c r="F24" s="6" t="inlineStr">
        <is>
          <t>48/52</t>
        </is>
      </c>
      <c r="G24" s="4" t="inlineStr">
        <is>
          <t>—</t>
        </is>
      </c>
      <c r="H24" s="4" t="inlineStr">
        <is>
          <t>eval/reports/eval_20260729-225644.json</t>
        </is>
      </c>
    </row>
    <row r="25">
      <c r="A25" s="4" t="inlineStr">
        <is>
          <t>2026-07-29 23:10</t>
        </is>
      </c>
      <c r="B25" s="4" t="inlineStr">
        <is>
          <t>v1.3.0</t>
        </is>
      </c>
      <c r="C25" s="4" t="inlineStr">
        <is>
          <t>Golden suite</t>
        </is>
      </c>
      <c r="D25" s="4" t="inlineStr">
        <is>
          <t>Golden questions (banking, conversation, DoD FMR, health, law, meetings, retail)</t>
        </is>
      </c>
      <c r="E25" s="4" t="inlineStr">
        <is>
          <t>Richard Watson Stephen Amudha</t>
        </is>
      </c>
      <c r="F25" s="6" t="inlineStr">
        <is>
          <t>48/52</t>
        </is>
      </c>
      <c r="G25" s="4" t="inlineStr">
        <is>
          <t>—</t>
        </is>
      </c>
      <c r="H25" s="4" t="inlineStr">
        <is>
          <t>eval/reports/eval_20260729-231034.json</t>
        </is>
      </c>
    </row>
    <row r="26">
      <c r="A26" s="4" t="inlineStr">
        <is>
          <t>2026-07-30 01:59</t>
        </is>
      </c>
      <c r="B26" s="4" t="inlineStr">
        <is>
          <t>v1.3.0</t>
        </is>
      </c>
      <c r="C26" s="4" t="inlineStr">
        <is>
          <t>Golden suite</t>
        </is>
      </c>
      <c r="D26" s="4" t="inlineStr">
        <is>
          <t>Golden questions (banking, conversation, DoD FMR, health, law, meetings, retail)</t>
        </is>
      </c>
      <c r="E26" s="4" t="inlineStr">
        <is>
          <t>Richard Watson Stephen Amudha</t>
        </is>
      </c>
      <c r="F26" s="6" t="inlineStr">
        <is>
          <t>43/52</t>
        </is>
      </c>
      <c r="G26" s="4" t="inlineStr">
        <is>
          <t>—</t>
        </is>
      </c>
      <c r="H26" s="4" t="inlineStr">
        <is>
          <t>eval/reports/eval_20260730-015940.json</t>
        </is>
      </c>
    </row>
    <row r="27">
      <c r="A27" s="4" t="inlineStr">
        <is>
          <t>2026-07-30 02:06</t>
        </is>
      </c>
      <c r="B27" s="4" t="inlineStr">
        <is>
          <t>v1.3.0</t>
        </is>
      </c>
      <c r="C27" s="4" t="inlineStr">
        <is>
          <t>Golden suite</t>
        </is>
      </c>
      <c r="D27" s="4" t="inlineStr">
        <is>
          <t>Golden questions (banking, conversation, DoD FMR, health, law, meetings, retail)</t>
        </is>
      </c>
      <c r="E27" s="4" t="inlineStr">
        <is>
          <t>Richard Watson Stephen Amudha</t>
        </is>
      </c>
      <c r="F27" s="6" t="inlineStr">
        <is>
          <t>50/52</t>
        </is>
      </c>
      <c r="G27" s="4" t="inlineStr">
        <is>
          <t>—</t>
        </is>
      </c>
      <c r="H27" s="4" t="inlineStr">
        <is>
          <t>eval/reports/eval_20260730-020659.json</t>
        </is>
      </c>
    </row>
    <row r="28">
      <c r="A28" s="4" t="inlineStr">
        <is>
          <t>2026-08-06 14:22</t>
        </is>
      </c>
      <c r="B28" s="4" t="inlineStr">
        <is>
          <t>v1.3.0</t>
        </is>
      </c>
      <c r="C28" s="4" t="inlineStr">
        <is>
          <t>Golden suite</t>
        </is>
      </c>
      <c r="D28" s="4" t="inlineStr">
        <is>
          <t>Golden questions (banking, conversation, DoD FMR, health, law, meetings, retail)</t>
        </is>
      </c>
      <c r="E28" s="4" t="inlineStr">
        <is>
          <t>Richard Watson Stephen Amudha</t>
        </is>
      </c>
      <c r="F28" s="6" t="inlineStr">
        <is>
          <t>42/52</t>
        </is>
      </c>
      <c r="G28" s="4" t="inlineStr">
        <is>
          <t>isolation regression found → NC-2026-001</t>
        </is>
      </c>
      <c r="H28" s="4" t="inlineStr">
        <is>
          <t>eval/reports/eval_20260806-142233.json</t>
        </is>
      </c>
    </row>
    <row r="29">
      <c r="A29" s="4" t="inlineStr">
        <is>
          <t>2026-08-06 14:32</t>
        </is>
      </c>
      <c r="B29" s="4" t="inlineStr">
        <is>
          <t>v1.3.0</t>
        </is>
      </c>
      <c r="C29" s="4" t="inlineStr">
        <is>
          <t>Golden suite</t>
        </is>
      </c>
      <c r="D29" s="4" t="inlineStr">
        <is>
          <t>Golden questions (banking, conversation, DoD FMR, health, law, meetings, retail)</t>
        </is>
      </c>
      <c r="E29" s="4" t="inlineStr">
        <is>
          <t>Richard Watson Stephen Amudha</t>
        </is>
      </c>
      <c r="F29" s="6" t="inlineStr">
        <is>
          <t>49/52</t>
        </is>
      </c>
      <c r="G29" s="4" t="inlineStr">
        <is>
          <t>—</t>
        </is>
      </c>
      <c r="H29" s="4" t="inlineStr">
        <is>
          <t>eval/reports/eval_20260806-143249.json</t>
        </is>
      </c>
    </row>
    <row r="30">
      <c r="A30" s="4" t="inlineStr">
        <is>
          <t>2026-08-07</t>
        </is>
      </c>
      <c r="B30" s="4" t="inlineStr">
        <is>
          <t>v1.3.0</t>
        </is>
      </c>
      <c r="C30" s="4" t="inlineStr">
        <is>
          <t>Research harness</t>
        </is>
      </c>
      <c r="D30" s="4" t="inlineStr">
        <is>
          <t>E1–E10: latency, citations, grounding, isolation, injection, barge-in</t>
        </is>
      </c>
      <c r="E30" s="4" t="inlineStr">
        <is>
          <t>Richard Watson Stephen Amudha</t>
        </is>
      </c>
      <c r="F30" s="5" t="inlineStr">
        <is>
          <t>Results frozen (NFR-P01…S03)</t>
        </is>
      </c>
      <c r="G30" s="4" t="inlineStr">
        <is>
          <t>NC-2026-007 (claims)</t>
        </is>
      </c>
      <c r="H30" s="4" t="inlineStr">
        <is>
          <t>eval/paper/results</t>
        </is>
      </c>
    </row>
    <row r="31">
      <c r="A31" s="4" t="inlineStr">
        <is>
          <t>2026-09-21</t>
        </is>
      </c>
      <c r="B31" s="4" t="inlineStr">
        <is>
          <t>v1.4.0</t>
        </is>
      </c>
      <c r="C31" s="4" t="inlineStr">
        <is>
          <t>Voice end-to-end</t>
        </is>
      </c>
      <c r="D31" s="4" t="inlineStr">
        <is>
          <t>12 spoken turns on two personas; barge-in; GPU fault check</t>
        </is>
      </c>
      <c r="E31" s="4" t="inlineStr">
        <is>
          <t>Richard Watson Stephen Amudha</t>
        </is>
      </c>
      <c r="F31" s="5" t="inlineStr">
        <is>
          <t>Pass — 22 review findings fixed</t>
        </is>
      </c>
      <c r="G31" s="4" t="inlineStr">
        <is>
          <t>—</t>
        </is>
      </c>
      <c r="H31" s="4" t="inlineStr">
        <is>
          <t>commit ff29843</t>
        </is>
      </c>
    </row>
    <row r="32">
      <c r="A32" s="4" t="inlineStr">
        <is>
          <t>2026-09-22</t>
        </is>
      </c>
      <c r="B32" s="4" t="inlineStr">
        <is>
          <t>v1.4.0</t>
        </is>
      </c>
      <c r="C32" s="4" t="inlineStr">
        <is>
          <t>Restore test</t>
        </is>
      </c>
      <c r="D32" s="4" t="inlineStr">
        <is>
          <t>Backup restored into a throwaway volume</t>
        </is>
      </c>
      <c r="E32" s="4" t="inlineStr">
        <is>
          <t>Richard Watson Stephen Amudha</t>
        </is>
      </c>
      <c r="F32" s="5" t="inlineStr">
        <is>
          <t>Pass — integrity_check ok, 32 tables</t>
        </is>
      </c>
      <c r="G32" s="4" t="inlineStr">
        <is>
          <t>—</t>
        </is>
      </c>
      <c r="H32" s="4" t="inlineStr">
        <is>
          <t>backup_checksum_20260922.sha256</t>
        </is>
      </c>
    </row>
    <row r="33">
      <c r="A33" s="4" t="inlineStr">
        <is>
          <t>2026-09-22 13:53</t>
        </is>
      </c>
      <c r="B33" s="4" t="inlineStr">
        <is>
          <t>v1.4.0</t>
        </is>
      </c>
      <c r="C33" s="4" t="inlineStr">
        <is>
          <t>Golden suite</t>
        </is>
      </c>
      <c r="D33" s="4" t="inlineStr">
        <is>
          <t>Golden questions (banking, conversation, DoD FMR, health, law, meetings, retail)</t>
        </is>
      </c>
      <c r="E33" s="4" t="inlineStr">
        <is>
          <t>Richard Watson Stephen Amudha</t>
        </is>
      </c>
      <c r="F33" s="6" t="inlineStr">
        <is>
          <t>9/52</t>
        </is>
      </c>
      <c r="G33" s="4" t="inlineStr">
        <is>
          <t>corpus absent → NC-2026-008</t>
        </is>
      </c>
      <c r="H33" s="4" t="inlineStr">
        <is>
          <t>eval/reports/eval_20260922-135322.json</t>
        </is>
      </c>
    </row>
    <row r="34">
      <c r="A34" s="4" t="inlineStr">
        <is>
          <t>2026-09-28</t>
        </is>
      </c>
      <c r="B34" s="4" t="inlineStr">
        <is>
          <t>v1.4.0</t>
        </is>
      </c>
      <c r="C34" s="4" t="inlineStr">
        <is>
          <t>Unit tests</t>
        </is>
      </c>
      <c r="D34" s="4" t="inlineStr">
        <is>
          <t>Backend and voice suites; front-end type check</t>
        </is>
      </c>
      <c r="E34" s="4" t="inlineStr">
        <is>
          <t>Richard Watson Stephen Amudha</t>
        </is>
      </c>
      <c r="F34" s="7" t="inlineStr">
        <is>
          <t>Fail — 5 tests, 20 type errors</t>
        </is>
      </c>
      <c r="G34" s="4" t="inlineStr">
        <is>
          <t>NC-2026-010</t>
        </is>
      </c>
      <c r="H34" s="4" t="inlineStr">
        <is>
          <t>commits 5ddf8a6, 736ea61</t>
        </is>
      </c>
    </row>
    <row r="35">
      <c r="A35" s="4" t="inlineStr">
        <is>
          <t>2026-10-06</t>
        </is>
      </c>
      <c r="B35" s="4" t="inlineStr">
        <is>
          <t>v1.4.0 code</t>
        </is>
      </c>
      <c r="C35" s="4" t="inlineStr">
        <is>
          <t>Acceptance</t>
        </is>
      </c>
      <c r="D35" s="4" t="inlineStr">
        <is>
          <t>13 acceptance test cases — run 1</t>
        </is>
      </c>
      <c r="E35" s="4" t="inlineStr">
        <is>
          <t>Richard Watson Stephen Amudha</t>
        </is>
      </c>
      <c r="F35" s="7" t="inlineStr">
        <is>
          <t>7 pass, 4 fail, 1 not executed, 1 blocked</t>
        </is>
      </c>
      <c r="G35" s="4" t="inlineStr">
        <is>
          <t>NC-2026-012 … 015</t>
        </is>
      </c>
      <c r="H35" s="4" t="inlineStr">
        <is>
          <t>15_Testing/Execution_Records/run1</t>
        </is>
      </c>
    </row>
    <row r="36">
      <c r="A36" s="4" t="inlineStr">
        <is>
          <t>2026-10-06</t>
        </is>
      </c>
      <c r="B36" s="4" t="inlineStr">
        <is>
          <t>fixes e0ed4d0</t>
        </is>
      </c>
      <c r="C36" s="4" t="inlineStr">
        <is>
          <t>Acceptance</t>
        </is>
      </c>
      <c r="D36" s="4" t="inlineStr">
        <is>
          <t>Run 2 — re-test of the four fixes</t>
        </is>
      </c>
      <c r="E36" s="4" t="inlineStr">
        <is>
          <t>Richard Watson Stephen Amudha</t>
        </is>
      </c>
      <c r="F36" s="5" t="inlineStr">
        <is>
          <t>Fixes pass; logout logged as anonymous</t>
        </is>
      </c>
      <c r="G36" s="4" t="inlineStr">
        <is>
          <t>QA-FAIL-2026-06</t>
        </is>
      </c>
      <c r="H36" s="4" t="inlineStr">
        <is>
          <t>Execution_Records/run2</t>
        </is>
      </c>
    </row>
    <row r="37">
      <c r="A37" s="4" t="inlineStr">
        <is>
          <t>2026-10-06</t>
        </is>
      </c>
      <c r="B37" s="4" t="inlineStr">
        <is>
          <t>v1.4.1</t>
        </is>
      </c>
      <c r="C37" s="4" t="inlineStr">
        <is>
          <t>Acceptance</t>
        </is>
      </c>
      <c r="D37" s="4" t="inlineStr">
        <is>
          <t>Run 3 after deployment</t>
        </is>
      </c>
      <c r="E37" s="4" t="inlineStr">
        <is>
          <t>Richard Watson Stephen Amudha</t>
        </is>
      </c>
      <c r="F37" s="7" t="inlineStr">
        <is>
          <t>Embedding service down while healthy</t>
        </is>
      </c>
      <c r="G37" s="4" t="inlineStr">
        <is>
          <t>NC-2026-016</t>
        </is>
      </c>
      <c r="H37" s="4" t="inlineStr">
        <is>
          <t>Execution_Records/run3</t>
        </is>
      </c>
    </row>
    <row r="38">
      <c r="A38" s="4" t="inlineStr">
        <is>
          <t>2026-10-06</t>
        </is>
      </c>
      <c r="B38" s="4" t="inlineStr">
        <is>
          <t>v1.4.1</t>
        </is>
      </c>
      <c r="C38" s="4" t="inlineStr">
        <is>
          <t>Acceptance</t>
        </is>
      </c>
      <c r="D38" s="4" t="inlineStr">
        <is>
          <t>Run 4 — full re-test</t>
        </is>
      </c>
      <c r="E38" s="4" t="inlineStr">
        <is>
          <t>Richard Watson Stephen Amudha</t>
        </is>
      </c>
      <c r="F38" s="5" t="inlineStr">
        <is>
          <t>11/11 executable pass</t>
        </is>
      </c>
      <c r="G38" s="4" t="inlineStr">
        <is>
          <t>—</t>
        </is>
      </c>
      <c r="H38" s="4" t="inlineStr">
        <is>
          <t>Execution_Records/run4</t>
        </is>
      </c>
    </row>
    <row r="39">
      <c r="A39" s="4" t="inlineStr">
        <is>
          <t>2026-10-06</t>
        </is>
      </c>
      <c r="B39" s="4" t="inlineStr">
        <is>
          <t>v1.4.1</t>
        </is>
      </c>
      <c r="C39" s="4" t="inlineStr">
        <is>
          <t>Unit tests</t>
        </is>
      </c>
      <c r="D39" s="4" t="inlineStr">
        <is>
          <t>Backend 50, voice 131, type check</t>
        </is>
      </c>
      <c r="E39" s="4" t="inlineStr">
        <is>
          <t>Richard Watson Stephen Amudha</t>
        </is>
      </c>
      <c r="F39" s="5" t="inlineStr">
        <is>
          <t>Pass</t>
        </is>
      </c>
      <c r="G39" s="4" t="inlineStr">
        <is>
          <t>—</t>
        </is>
      </c>
      <c r="H39" s="4" t="inlineStr">
        <is>
          <t>Release record v1.4.1 §3</t>
        </is>
      </c>
    </row>
    <row r="40">
      <c r="A40" s="4" t="inlineStr">
        <is>
          <t>2026-10-07</t>
        </is>
      </c>
      <c r="B40" s="4" t="inlineStr">
        <is>
          <t>v1.4.1</t>
        </is>
      </c>
      <c r="C40" s="4" t="inlineStr">
        <is>
          <t>CI</t>
        </is>
      </c>
      <c r="D40" s="4" t="inlineStr">
        <is>
          <t>Unit tests and type check on every push (run 37561379960)</t>
        </is>
      </c>
      <c r="E40" s="4" t="inlineStr">
        <is>
          <t>GitHub Actions</t>
        </is>
      </c>
      <c r="F40" s="5" t="inlineStr">
        <is>
          <t>Pass</t>
        </is>
      </c>
      <c r="G40" s="4" t="inlineStr">
        <is>
          <t>—</t>
        </is>
      </c>
      <c r="H40" s="4" t="inlineStr">
        <is>
          <t>GitHub Actions</t>
        </is>
      </c>
    </row>
    <row r="41">
      <c r="A41" s="4" t="inlineStr">
        <is>
          <t>2026-10-07</t>
        </is>
      </c>
      <c r="B41" s="4" t="inlineStr">
        <is>
          <t>v1.4.1</t>
        </is>
      </c>
      <c r="C41" s="4" t="inlineStr">
        <is>
          <t>CI</t>
        </is>
      </c>
      <c r="D41" s="4" t="inlineStr">
        <is>
          <t>Deliberately broken test to prove CI fails (run 37561804619)</t>
        </is>
      </c>
      <c r="E41" s="4" t="inlineStr">
        <is>
          <t>GitHub Actions</t>
        </is>
      </c>
      <c r="F41" s="7" t="inlineStr">
        <is>
          <t>Fail as intended</t>
        </is>
      </c>
      <c r="G41" s="4" t="inlineStr">
        <is>
          <t>NC-2026-010 closed</t>
        </is>
      </c>
      <c r="H41" s="4" t="inlineStr">
        <is>
          <t>GitHub Actions</t>
        </is>
      </c>
    </row>
    <row r="42">
      <c r="A42" s="4" t="inlineStr">
        <is>
          <t>2026-10-07</t>
        </is>
      </c>
      <c r="B42" s="4" t="inlineStr">
        <is>
          <t>v1.4.1</t>
        </is>
      </c>
      <c r="C42" s="4" t="inlineStr">
        <is>
          <t>External check</t>
        </is>
      </c>
      <c r="D42" s="4" t="inlineStr">
        <is>
          <t>Public site requires login — every 6 hours (run 37561803121)</t>
        </is>
      </c>
      <c r="E42" s="4" t="inlineStr">
        <is>
          <t>GitHub Actions</t>
        </is>
      </c>
      <c r="F42" s="5" t="inlineStr">
        <is>
          <t>Pass (401)</t>
        </is>
      </c>
      <c r="G42" s="4" t="inlineStr">
        <is>
          <t>—</t>
        </is>
      </c>
      <c r="H42" s="4" t="inlineStr">
        <is>
          <t>GitHub Actions</t>
        </is>
      </c>
    </row>
  </sheetData>
  <autoFilter ref="A4:H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2" customWidth="1" min="4" max="4"/>
  </cols>
  <sheetData>
    <row r="1">
      <c r="A1" s="1" t="inlineStr">
        <is>
          <t>By version</t>
        </is>
      </c>
    </row>
    <row r="2">
      <c r="A2" s="2" t="inlineStr">
        <is>
          <t>Live formulas</t>
        </is>
      </c>
    </row>
    <row r="4">
      <c r="A4" s="3" t="inlineStr">
        <is>
          <t>Version</t>
        </is>
      </c>
      <c r="B4" s="3" t="inlineStr">
        <is>
          <t>Window</t>
        </is>
      </c>
      <c r="C4" s="3" t="inlineStr">
        <is>
          <t>Test runs</t>
        </is>
      </c>
      <c r="D4" s="3" t="inlineStr">
        <is>
          <t>Of which failed or blocked</t>
        </is>
      </c>
    </row>
    <row r="5">
      <c r="A5" s="4" t="inlineStr">
        <is>
          <t>v1.0.0</t>
        </is>
      </c>
      <c r="B5" s="4" t="inlineStr">
        <is>
          <t>Jan–Feb 2026</t>
        </is>
      </c>
      <c r="C5" s="4">
        <f>COUNTIF('Test executions'!$B:$B,"v1.0.0*")</f>
        <v/>
      </c>
      <c r="D5" s="4">
        <f>COUNTIFS('Test executions'!$B:$B,"v1.0.0*",'Test executions'!$F:$F,"Fail*")</f>
        <v/>
      </c>
    </row>
    <row r="6">
      <c r="A6" s="4" t="inlineStr">
        <is>
          <t>v1.1.0</t>
        </is>
      </c>
      <c r="B6" s="4" t="inlineStr">
        <is>
          <t>Mar–Apr 2026</t>
        </is>
      </c>
      <c r="C6" s="4">
        <f>COUNTIF('Test executions'!$B:$B,"v1.1.0*")</f>
        <v/>
      </c>
      <c r="D6" s="4">
        <f>COUNTIFS('Test executions'!$B:$B,"v1.1.0*",'Test executions'!$F:$F,"Fail*")</f>
        <v/>
      </c>
    </row>
    <row r="7">
      <c r="A7" s="4" t="inlineStr">
        <is>
          <t>v1.2.0</t>
        </is>
      </c>
      <c r="B7" s="4" t="inlineStr">
        <is>
          <t>May–Jun 2026</t>
        </is>
      </c>
      <c r="C7" s="4">
        <f>COUNTIF('Test executions'!$B:$B,"v1.2.0*")</f>
        <v/>
      </c>
      <c r="D7" s="4">
        <f>COUNTIFS('Test executions'!$B:$B,"v1.2.0*",'Test executions'!$F:$F,"Fail*")</f>
        <v/>
      </c>
    </row>
    <row r="8">
      <c r="A8" s="4" t="inlineStr">
        <is>
          <t>v1.3.0</t>
        </is>
      </c>
      <c r="B8" s="4" t="inlineStr">
        <is>
          <t>Jul–Aug 2026</t>
        </is>
      </c>
      <c r="C8" s="4">
        <f>COUNTIF('Test executions'!$B:$B,"v1.3.0*")</f>
        <v/>
      </c>
      <c r="D8" s="4">
        <f>COUNTIFS('Test executions'!$B:$B,"v1.3.0*",'Test executions'!$F:$F,"Fail*")</f>
        <v/>
      </c>
    </row>
    <row r="9">
      <c r="A9" s="4" t="inlineStr">
        <is>
          <t>v1.4.0</t>
        </is>
      </c>
      <c r="B9" s="4" t="inlineStr">
        <is>
          <t>Sep 2026</t>
        </is>
      </c>
      <c r="C9" s="4">
        <f>COUNTIF('Test executions'!$B:$B,"v1.4.0*")</f>
        <v/>
      </c>
      <c r="D9" s="4">
        <f>COUNTIFS('Test executions'!$B:$B,"v1.4.0*",'Test executions'!$F:$F,"Fail*")</f>
        <v/>
      </c>
    </row>
    <row r="10">
      <c r="A10" s="4" t="inlineStr">
        <is>
          <t>v1.4.1</t>
        </is>
      </c>
      <c r="B10" s="4" t="inlineStr">
        <is>
          <t>Oct 2026</t>
        </is>
      </c>
      <c r="C10" s="4">
        <f>COUNTIF('Test executions'!$B:$B,"v1.4.1*")</f>
        <v/>
      </c>
      <c r="D10" s="4">
        <f>COUNTIFS('Test executions'!$B:$B,"v1.4.1*",'Test executions'!$F:$F,"Fail*")</f>
        <v/>
      </c>
    </row>
  </sheetData>
  <autoFilter ref="A4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Document control</t>
        </is>
      </c>
    </row>
    <row r="2">
      <c r="A2" s="2" t="inlineStr">
        <is>
          <t>Document control</t>
        </is>
      </c>
    </row>
    <row r="4">
      <c r="A4" s="3" t="inlineStr">
        <is>
          <t>Field</t>
        </is>
      </c>
      <c r="B4" s="3" t="inlineStr">
        <is>
          <t>Entry</t>
        </is>
      </c>
    </row>
    <row r="5">
      <c r="A5" s="4" t="inlineStr">
        <is>
          <t>Document ID</t>
        </is>
      </c>
      <c r="B5" s="4" t="inlineStr">
        <is>
          <t>EM26-34</t>
        </is>
      </c>
    </row>
    <row r="6">
      <c r="A6" s="4" t="inlineStr">
        <is>
          <t>Title</t>
        </is>
      </c>
      <c r="B6" s="4" t="inlineStr">
        <is>
          <t>Test Execution Register</t>
        </is>
      </c>
    </row>
    <row r="7">
      <c r="A7" s="4" t="inlineStr">
        <is>
          <t>Version</t>
        </is>
      </c>
      <c r="B7" s="4" t="inlineStr">
        <is>
          <t>1.0</t>
        </is>
      </c>
    </row>
    <row r="8">
      <c r="A8" s="4" t="inlineStr">
        <is>
          <t>Issue date</t>
        </is>
      </c>
      <c r="B8" s="4" t="inlineStr">
        <is>
          <t>2026-10-14</t>
        </is>
      </c>
    </row>
    <row r="9">
      <c r="A9" s="4" t="inlineStr">
        <is>
          <t>Status</t>
        </is>
      </c>
      <c r="B9" s="4" t="inlineStr">
        <is>
          <t>Issued for approval</t>
        </is>
      </c>
    </row>
    <row r="10">
      <c r="A10" s="4" t="inlineStr">
        <is>
          <t>Organisation</t>
        </is>
      </c>
      <c r="B10" s="4" t="inlineStr">
        <is>
          <t>AJACE Inc. — 14159 Robert Paris Ct., Suite A, Chantilly, VA 20151, USA</t>
        </is>
      </c>
    </row>
    <row r="11">
      <c r="A11" s="4" t="inlineStr">
        <is>
          <t>Project</t>
        </is>
      </c>
      <c r="B11" s="4" t="inlineStr">
        <is>
          <t>EchoMind Product (Project 2)</t>
        </is>
      </c>
    </row>
    <row r="12">
      <c r="A12" s="4" t="inlineStr">
        <is>
          <t>Prepared by</t>
        </is>
      </c>
      <c r="B12" s="4" t="inlineStr">
        <is>
          <t>Richard Watson Stephen Amudha (Lead Engineer) — 2026-10-14</t>
        </is>
      </c>
    </row>
    <row r="13">
      <c r="A13" s="4" t="inlineStr">
        <is>
          <t>Reviewed by</t>
        </is>
      </c>
      <c r="B13" s="4" t="inlineStr">
        <is>
          <t>Alexander Peter (EchoMind Project Lead) — to confirm</t>
        </is>
      </c>
    </row>
    <row r="14">
      <c r="A14" s="4" t="inlineStr">
        <is>
          <t>Quality assurance</t>
        </is>
      </c>
      <c r="B14" s="4" t="inlineStr">
        <is>
          <t>Sheryl Nazareth (QA / MR) — to confirm</t>
        </is>
      </c>
    </row>
    <row r="15">
      <c r="A15" s="4" t="inlineStr">
        <is>
          <t>Approved by</t>
        </is>
      </c>
      <c r="B15" s="4" t="inlineStr">
        <is>
          <t>Anita Johan (Managing Director) — to confirm</t>
        </is>
      </c>
    </row>
  </sheetData>
  <autoFilter ref="A4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2026-10-14T11:59:21Z</dcterms:created>
  <dcterms:modified xmlns:dcterms="http://purl.org/dc/terms/" xmlns:xsi="http://www.w3.org/2001/XMLSchema-instance" xsi:type="dcterms:W3CDTF">2026-10-14T11:59:21Z</dcterms:modified>
</cp:coreProperties>
</file>